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orge\Downloads\"/>
    </mc:Choice>
  </mc:AlternateContent>
  <xr:revisionPtr revIDLastSave="0" documentId="13_ncr:1_{9C3722FE-7C79-462A-8FA4-8F62D2AA20C1}" xr6:coauthVersionLast="47" xr6:coauthVersionMax="47" xr10:uidLastSave="{00000000-0000-0000-0000-000000000000}"/>
  <bookViews>
    <workbookView xWindow="-120" yWindow="-120" windowWidth="20730" windowHeight="11040" tabRatio="500" firstSheet="12" activeTab="13" xr2:uid="{00000000-000D-0000-FFFF-FFFF00000000}"/>
  </bookViews>
  <sheets>
    <sheet name="Capa" sheetId="1" r:id="rId1"/>
    <sheet name="BP" sheetId="2" r:id="rId2"/>
    <sheet name="DRE" sheetId="3" r:id="rId3"/>
    <sheet name="Receita Detalhada" sheetId="4" r:id="rId4"/>
    <sheet name="DFC" sheetId="5" r:id="rId5"/>
    <sheet name="Operacional Puro" sheetId="6" r:id="rId6"/>
    <sheet name="Indicadores" sheetId="7" r:id="rId7"/>
    <sheet name="Premissas Runway" sheetId="8" r:id="rId8"/>
    <sheet name="Modelo Runway" sheetId="9" r:id="rId9"/>
    <sheet name="Resumo Cenários" sheetId="10" r:id="rId10"/>
    <sheet name="Caminho A — Trajetória" sheetId="11" r:id="rId11"/>
    <sheet name="Anx — Suporte Controlador" sheetId="12" r:id="rId12"/>
    <sheet name="Anx — Garantias e Factoring" sheetId="13" r:id="rId13"/>
    <sheet name="Anx — Cenários Impairment" sheetId="14" r:id="rId14"/>
  </sheets>
  <calcPr calcId="191029" iterateDelta="1E-4"/>
</workbook>
</file>

<file path=xl/calcChain.xml><?xml version="1.0" encoding="utf-8"?>
<calcChain xmlns="http://schemas.openxmlformats.org/spreadsheetml/2006/main">
  <c r="E60" i="5" l="1"/>
  <c r="E59" i="5"/>
  <c r="E58" i="5"/>
  <c r="D26" i="14"/>
  <c r="C26" i="14"/>
  <c r="H25" i="14"/>
  <c r="G25" i="14"/>
  <c r="F25" i="14"/>
  <c r="F26" i="14" s="1"/>
  <c r="E25" i="14"/>
  <c r="E26" i="14" s="1"/>
  <c r="H24" i="14"/>
  <c r="H26" i="14" s="1"/>
  <c r="G24" i="14"/>
  <c r="G26" i="14" s="1"/>
  <c r="G21" i="14"/>
  <c r="C21" i="14"/>
  <c r="H20" i="14"/>
  <c r="G20" i="14"/>
  <c r="F20" i="14"/>
  <c r="E20" i="14"/>
  <c r="H19" i="14"/>
  <c r="H21" i="14" s="1"/>
  <c r="G19" i="14"/>
  <c r="F19" i="14"/>
  <c r="F21" i="14" s="1"/>
  <c r="E19" i="14"/>
  <c r="E21" i="14" s="1"/>
  <c r="D19" i="14"/>
  <c r="D21" i="14" s="1"/>
  <c r="H16" i="14"/>
  <c r="G16" i="14"/>
  <c r="F16" i="14"/>
  <c r="E16" i="14"/>
  <c r="E29" i="14" s="1"/>
  <c r="D16" i="14"/>
  <c r="D29" i="14" s="1"/>
  <c r="C16" i="14"/>
  <c r="C29" i="14" s="1"/>
  <c r="E27" i="13"/>
  <c r="E21" i="13"/>
  <c r="F34" i="12"/>
  <c r="E34" i="12"/>
  <c r="D34" i="12"/>
  <c r="C34" i="12"/>
  <c r="F33" i="12"/>
  <c r="E33" i="12"/>
  <c r="D33" i="12"/>
  <c r="C33" i="12"/>
  <c r="F32" i="12"/>
  <c r="E32" i="12"/>
  <c r="E36" i="12" s="1"/>
  <c r="D32" i="12"/>
  <c r="D36" i="12" s="1"/>
  <c r="C32" i="12"/>
  <c r="C36" i="12" s="1"/>
  <c r="F24" i="12"/>
  <c r="F35" i="12" s="1"/>
  <c r="E24" i="12"/>
  <c r="E35" i="12" s="1"/>
  <c r="D24" i="12"/>
  <c r="D35" i="12" s="1"/>
  <c r="C24" i="12"/>
  <c r="C35" i="12" s="1"/>
  <c r="F14" i="12"/>
  <c r="E14" i="12"/>
  <c r="F9" i="12"/>
  <c r="E9" i="12"/>
  <c r="D9" i="12"/>
  <c r="C9" i="12"/>
  <c r="D15" i="11"/>
  <c r="C15" i="11"/>
  <c r="D12" i="11"/>
  <c r="C12" i="11"/>
  <c r="D29" i="9"/>
  <c r="G11" i="11" s="1"/>
  <c r="G12" i="11" s="1"/>
  <c r="G22" i="9"/>
  <c r="F22" i="9"/>
  <c r="E22" i="9"/>
  <c r="D22" i="9"/>
  <c r="C22" i="9"/>
  <c r="B22" i="9"/>
  <c r="G20" i="9"/>
  <c r="F20" i="9"/>
  <c r="E20" i="9"/>
  <c r="D20" i="9"/>
  <c r="C20" i="9"/>
  <c r="B20" i="9"/>
  <c r="G15" i="9"/>
  <c r="F15" i="9"/>
  <c r="E15" i="9"/>
  <c r="D15" i="9"/>
  <c r="C15" i="9"/>
  <c r="B15" i="9"/>
  <c r="G9" i="9"/>
  <c r="G13" i="9" s="1"/>
  <c r="F9" i="9"/>
  <c r="F29" i="9" s="1"/>
  <c r="I11" i="11" s="1"/>
  <c r="I12" i="11" s="1"/>
  <c r="E9" i="9"/>
  <c r="E29" i="9" s="1"/>
  <c r="H11" i="11" s="1"/>
  <c r="H12" i="11" s="1"/>
  <c r="D9" i="9"/>
  <c r="D13" i="9" s="1"/>
  <c r="C9" i="9"/>
  <c r="C13" i="9" s="1"/>
  <c r="B9" i="9"/>
  <c r="B13" i="9" s="1"/>
  <c r="G8" i="9"/>
  <c r="F8" i="9"/>
  <c r="E8" i="9"/>
  <c r="D8" i="9"/>
  <c r="C8" i="9"/>
  <c r="B8" i="9"/>
  <c r="D37" i="8"/>
  <c r="D19" i="9" s="1"/>
  <c r="C37" i="8"/>
  <c r="C19" i="9" s="1"/>
  <c r="B37" i="8"/>
  <c r="B19" i="9" s="1"/>
  <c r="C23" i="8"/>
  <c r="C11" i="9" s="1"/>
  <c r="C9" i="8"/>
  <c r="C7" i="9" s="1"/>
  <c r="B9" i="8"/>
  <c r="B7" i="9" s="1"/>
  <c r="D6" i="8"/>
  <c r="D9" i="8" s="1"/>
  <c r="D7" i="9" s="1"/>
  <c r="C6" i="8"/>
  <c r="B6" i="8"/>
  <c r="D34" i="7"/>
  <c r="C34" i="7"/>
  <c r="B34" i="7"/>
  <c r="D33" i="7"/>
  <c r="C33" i="7"/>
  <c r="B33" i="7"/>
  <c r="B29" i="7"/>
  <c r="C28" i="7"/>
  <c r="C5" i="11" s="1"/>
  <c r="C6" i="11" s="1"/>
  <c r="D27" i="7"/>
  <c r="D23" i="8" s="1"/>
  <c r="D11" i="9" s="1"/>
  <c r="C27" i="7"/>
  <c r="C29" i="7" s="1"/>
  <c r="B27" i="7"/>
  <c r="D22" i="7"/>
  <c r="C22" i="7"/>
  <c r="B22" i="7"/>
  <c r="D15" i="7"/>
  <c r="C15" i="7"/>
  <c r="B15" i="7"/>
  <c r="D12" i="7"/>
  <c r="C12" i="7"/>
  <c r="B12" i="7"/>
  <c r="D11" i="7"/>
  <c r="C11" i="7"/>
  <c r="B11" i="7"/>
  <c r="D8" i="7"/>
  <c r="C8" i="7"/>
  <c r="B8" i="7"/>
  <c r="D7" i="7"/>
  <c r="C7" i="7"/>
  <c r="B7" i="7"/>
  <c r="E25" i="6"/>
  <c r="D25" i="6"/>
  <c r="C25" i="6"/>
  <c r="B25" i="6"/>
  <c r="D17" i="6"/>
  <c r="B14" i="6"/>
  <c r="B18" i="6" s="1"/>
  <c r="D61" i="5"/>
  <c r="C61" i="5"/>
  <c r="B61" i="5"/>
  <c r="D60" i="5"/>
  <c r="C60" i="5"/>
  <c r="B60" i="5"/>
  <c r="B58" i="5"/>
  <c r="E54" i="5"/>
  <c r="D51" i="5"/>
  <c r="E51" i="5" s="1"/>
  <c r="C51" i="5"/>
  <c r="B51" i="5"/>
  <c r="E50" i="5"/>
  <c r="E49" i="5"/>
  <c r="E48" i="5"/>
  <c r="E47" i="5"/>
  <c r="E46" i="5"/>
  <c r="E45" i="5"/>
  <c r="E42" i="5"/>
  <c r="D42" i="5"/>
  <c r="C42" i="5"/>
  <c r="B42" i="5"/>
  <c r="E41" i="5"/>
  <c r="E40" i="5"/>
  <c r="E39" i="5"/>
  <c r="E38" i="5"/>
  <c r="E34" i="5"/>
  <c r="E33" i="5"/>
  <c r="D31" i="5"/>
  <c r="D59" i="5" s="1"/>
  <c r="C31" i="5"/>
  <c r="C59" i="5" s="1"/>
  <c r="B31" i="5"/>
  <c r="B59" i="5" s="1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D15" i="5"/>
  <c r="E15" i="5" s="1"/>
  <c r="C15" i="5"/>
  <c r="C32" i="5" s="1"/>
  <c r="C35" i="5" s="1"/>
  <c r="B15" i="5"/>
  <c r="E14" i="5"/>
  <c r="E13" i="5"/>
  <c r="E12" i="5"/>
  <c r="E11" i="5"/>
  <c r="E10" i="5"/>
  <c r="E9" i="5"/>
  <c r="E8" i="5"/>
  <c r="E7" i="5"/>
  <c r="E6" i="5"/>
  <c r="E5" i="5"/>
  <c r="E41" i="4"/>
  <c r="E37" i="4"/>
  <c r="E38" i="4" s="1"/>
  <c r="F38" i="4" s="1"/>
  <c r="D37" i="4"/>
  <c r="D38" i="4" s="1"/>
  <c r="C37" i="4"/>
  <c r="C38" i="4" s="1"/>
  <c r="E34" i="4"/>
  <c r="F34" i="4" s="1"/>
  <c r="D34" i="4"/>
  <c r="C34" i="4"/>
  <c r="B34" i="4"/>
  <c r="F33" i="4"/>
  <c r="F32" i="4"/>
  <c r="F29" i="4"/>
  <c r="E26" i="4"/>
  <c r="F26" i="4" s="1"/>
  <c r="D26" i="4"/>
  <c r="C26" i="4"/>
  <c r="B26" i="4"/>
  <c r="F25" i="4"/>
  <c r="F22" i="4"/>
  <c r="F21" i="4"/>
  <c r="F18" i="4"/>
  <c r="F15" i="4"/>
  <c r="E15" i="4"/>
  <c r="E44" i="4" s="1"/>
  <c r="D15" i="4"/>
  <c r="C15" i="4"/>
  <c r="B15" i="4"/>
  <c r="B37" i="4" s="1"/>
  <c r="B38" i="4" s="1"/>
  <c r="F14" i="4"/>
  <c r="F13" i="4"/>
  <c r="F12" i="4"/>
  <c r="F11" i="4"/>
  <c r="F9" i="4"/>
  <c r="F8" i="4"/>
  <c r="F7" i="4"/>
  <c r="F6" i="4"/>
  <c r="F5" i="4"/>
  <c r="D25" i="3"/>
  <c r="C25" i="3"/>
  <c r="B25" i="3"/>
  <c r="C24" i="3"/>
  <c r="B21" i="3"/>
  <c r="E17" i="3"/>
  <c r="E15" i="3"/>
  <c r="E14" i="3"/>
  <c r="E12" i="3"/>
  <c r="E11" i="3"/>
  <c r="E10" i="3"/>
  <c r="E9" i="3"/>
  <c r="B8" i="3"/>
  <c r="B18" i="7" s="1"/>
  <c r="E7" i="3"/>
  <c r="D6" i="3"/>
  <c r="D28" i="7" s="1"/>
  <c r="D5" i="11" s="1"/>
  <c r="D6" i="11" s="1"/>
  <c r="C6" i="3"/>
  <c r="C8" i="3" s="1"/>
  <c r="B6" i="3"/>
  <c r="B28" i="7" s="1"/>
  <c r="E5" i="3"/>
  <c r="E4" i="3"/>
  <c r="D52" i="2"/>
  <c r="D50" i="2"/>
  <c r="C50" i="2"/>
  <c r="B50" i="2"/>
  <c r="B14" i="7" s="1"/>
  <c r="D44" i="2"/>
  <c r="D13" i="7" s="1"/>
  <c r="C44" i="2"/>
  <c r="C52" i="2" s="1"/>
  <c r="B44" i="2"/>
  <c r="B52" i="2" s="1"/>
  <c r="D43" i="2"/>
  <c r="C43" i="2"/>
  <c r="B43" i="2"/>
  <c r="D35" i="2"/>
  <c r="C35" i="2"/>
  <c r="B35" i="2"/>
  <c r="D23" i="2"/>
  <c r="D14" i="7" s="1"/>
  <c r="C23" i="2"/>
  <c r="D22" i="2"/>
  <c r="C22" i="2"/>
  <c r="B22" i="2"/>
  <c r="D13" i="2"/>
  <c r="D6" i="7" s="1"/>
  <c r="C13" i="2"/>
  <c r="C6" i="7" s="1"/>
  <c r="B13" i="2"/>
  <c r="B23" i="2" s="1"/>
  <c r="F11" i="9" l="1"/>
  <c r="C26" i="9"/>
  <c r="F5" i="11" s="1"/>
  <c r="F6" i="11" s="1"/>
  <c r="D32" i="14"/>
  <c r="D33" i="14"/>
  <c r="D34" i="14"/>
  <c r="E33" i="14"/>
  <c r="E34" i="14"/>
  <c r="E32" i="14"/>
  <c r="G11" i="9"/>
  <c r="D26" i="9"/>
  <c r="G5" i="11" s="1"/>
  <c r="G6" i="11" s="1"/>
  <c r="D31" i="9"/>
  <c r="F29" i="14"/>
  <c r="G29" i="14"/>
  <c r="C32" i="7"/>
  <c r="C53" i="5"/>
  <c r="C55" i="5" s="1"/>
  <c r="F36" i="12"/>
  <c r="H29" i="14"/>
  <c r="C53" i="2"/>
  <c r="G7" i="9"/>
  <c r="D10" i="9"/>
  <c r="D12" i="9"/>
  <c r="E7" i="9"/>
  <c r="B10" i="9"/>
  <c r="B12" i="9"/>
  <c r="B53" i="2"/>
  <c r="C18" i="7"/>
  <c r="C13" i="3"/>
  <c r="C21" i="3"/>
  <c r="F7" i="9"/>
  <c r="C10" i="9"/>
  <c r="C12" i="9"/>
  <c r="C31" i="9" s="1"/>
  <c r="C32" i="14"/>
  <c r="C33" i="14"/>
  <c r="C34" i="14"/>
  <c r="G29" i="9"/>
  <c r="J11" i="11" s="1"/>
  <c r="J12" i="11" s="1"/>
  <c r="E13" i="9"/>
  <c r="F13" i="9"/>
  <c r="F37" i="4"/>
  <c r="E43" i="4"/>
  <c r="E31" i="5"/>
  <c r="D58" i="5"/>
  <c r="C5" i="7"/>
  <c r="B29" i="9"/>
  <c r="E11" i="11" s="1"/>
  <c r="E12" i="11" s="1"/>
  <c r="C58" i="5"/>
  <c r="B5" i="7"/>
  <c r="B13" i="3"/>
  <c r="D24" i="3"/>
  <c r="B32" i="5"/>
  <c r="B35" i="5" s="1"/>
  <c r="C17" i="6"/>
  <c r="D5" i="7"/>
  <c r="B13" i="7"/>
  <c r="D29" i="7"/>
  <c r="B23" i="8"/>
  <c r="B11" i="9" s="1"/>
  <c r="C29" i="9"/>
  <c r="F11" i="11" s="1"/>
  <c r="F12" i="11" s="1"/>
  <c r="D8" i="3"/>
  <c r="E6" i="3"/>
  <c r="E42" i="4"/>
  <c r="D53" i="2"/>
  <c r="C13" i="7"/>
  <c r="D32" i="5"/>
  <c r="E17" i="6"/>
  <c r="C14" i="7"/>
  <c r="B6" i="7"/>
  <c r="F33" i="14" l="1"/>
  <c r="F34" i="14"/>
  <c r="F32" i="14"/>
  <c r="H34" i="14"/>
  <c r="H32" i="14"/>
  <c r="H33" i="14"/>
  <c r="D6" i="6"/>
  <c r="D14" i="6" s="1"/>
  <c r="C22" i="3"/>
  <c r="C16" i="3"/>
  <c r="C18" i="3" s="1"/>
  <c r="C19" i="7"/>
  <c r="B32" i="7"/>
  <c r="B53" i="5"/>
  <c r="B55" i="5" s="1"/>
  <c r="D18" i="7"/>
  <c r="E8" i="3"/>
  <c r="D13" i="3"/>
  <c r="D21" i="3"/>
  <c r="B15" i="10"/>
  <c r="B14" i="9"/>
  <c r="C6" i="6"/>
  <c r="C14" i="6" s="1"/>
  <c r="B16" i="3"/>
  <c r="B18" i="3" s="1"/>
  <c r="B22" i="3"/>
  <c r="B19" i="7"/>
  <c r="C15" i="10"/>
  <c r="C14" i="9"/>
  <c r="E10" i="9"/>
  <c r="E12" i="9"/>
  <c r="G26" i="9"/>
  <c r="J5" i="11" s="1"/>
  <c r="J6" i="11" s="1"/>
  <c r="G31" i="9"/>
  <c r="B31" i="9"/>
  <c r="E11" i="9"/>
  <c r="B26" i="9"/>
  <c r="E5" i="11" s="1"/>
  <c r="E6" i="11" s="1"/>
  <c r="F12" i="9"/>
  <c r="F10" i="9"/>
  <c r="G34" i="14"/>
  <c r="G32" i="14"/>
  <c r="G33" i="14"/>
  <c r="G12" i="9"/>
  <c r="G10" i="9"/>
  <c r="E32" i="5"/>
  <c r="D35" i="5"/>
  <c r="D15" i="10"/>
  <c r="D14" i="9"/>
  <c r="F26" i="9"/>
  <c r="I5" i="11" s="1"/>
  <c r="I6" i="11" s="1"/>
  <c r="F31" i="9"/>
  <c r="E26" i="9" l="1"/>
  <c r="H5" i="11" s="1"/>
  <c r="H6" i="11" s="1"/>
  <c r="E31" i="9"/>
  <c r="D18" i="6"/>
  <c r="C8" i="11" s="1"/>
  <c r="C20" i="7"/>
  <c r="D19" i="6"/>
  <c r="E6" i="6"/>
  <c r="E14" i="6" s="1"/>
  <c r="D22" i="3"/>
  <c r="E13" i="3"/>
  <c r="D19" i="7"/>
  <c r="D16" i="3"/>
  <c r="D16" i="10"/>
  <c r="G14" i="9"/>
  <c r="B23" i="3"/>
  <c r="B21" i="7"/>
  <c r="C18" i="6"/>
  <c r="B20" i="7"/>
  <c r="C19" i="6"/>
  <c r="D16" i="9"/>
  <c r="D5" i="10" s="1"/>
  <c r="D27" i="9"/>
  <c r="D28" i="9" s="1"/>
  <c r="G8" i="11" s="1"/>
  <c r="D21" i="9"/>
  <c r="D23" i="9" s="1"/>
  <c r="E14" i="9"/>
  <c r="B16" i="10"/>
  <c r="B27" i="9"/>
  <c r="B28" i="9" s="1"/>
  <c r="E8" i="11" s="1"/>
  <c r="E9" i="11" s="1"/>
  <c r="B21" i="9"/>
  <c r="B23" i="9" s="1"/>
  <c r="B16" i="9"/>
  <c r="B5" i="10" s="1"/>
  <c r="C16" i="10"/>
  <c r="F14" i="9"/>
  <c r="D32" i="7"/>
  <c r="E35" i="5"/>
  <c r="D53" i="5"/>
  <c r="C16" i="9"/>
  <c r="C5" i="10" s="1"/>
  <c r="C27" i="9"/>
  <c r="C28" i="9" s="1"/>
  <c r="F8" i="11" s="1"/>
  <c r="C21" i="9"/>
  <c r="C23" i="9" s="1"/>
  <c r="C21" i="7"/>
  <c r="C23" i="3"/>
  <c r="D20" i="7" l="1"/>
  <c r="E19" i="6"/>
  <c r="E18" i="6"/>
  <c r="D8" i="11" s="1"/>
  <c r="E16" i="9"/>
  <c r="B6" i="10" s="1"/>
  <c r="B7" i="10" s="1"/>
  <c r="E27" i="9"/>
  <c r="E28" i="9" s="1"/>
  <c r="H8" i="11" s="1"/>
  <c r="H9" i="11" s="1"/>
  <c r="E21" i="9"/>
  <c r="F16" i="9"/>
  <c r="C6" i="10" s="1"/>
  <c r="C7" i="10" s="1"/>
  <c r="F27" i="9"/>
  <c r="F28" i="9" s="1"/>
  <c r="I8" i="11" s="1"/>
  <c r="F21" i="9"/>
  <c r="G9" i="11"/>
  <c r="G16" i="9"/>
  <c r="D6" i="10" s="1"/>
  <c r="D7" i="10" s="1"/>
  <c r="G27" i="9"/>
  <c r="G28" i="9" s="1"/>
  <c r="J8" i="11" s="1"/>
  <c r="G21" i="9"/>
  <c r="G23" i="9" s="1"/>
  <c r="F23" i="9"/>
  <c r="C10" i="10"/>
  <c r="C30" i="9"/>
  <c r="C32" i="9" s="1"/>
  <c r="F14" i="11" s="1"/>
  <c r="F15" i="11" s="1"/>
  <c r="F9" i="11"/>
  <c r="F18" i="11"/>
  <c r="F19" i="11" s="1"/>
  <c r="E23" i="9"/>
  <c r="B10" i="10"/>
  <c r="B30" i="9"/>
  <c r="B32" i="9" s="1"/>
  <c r="E14" i="11" s="1"/>
  <c r="D18" i="3"/>
  <c r="E16" i="3"/>
  <c r="C9" i="11"/>
  <c r="C18" i="11"/>
  <c r="C19" i="11" s="1"/>
  <c r="D55" i="5"/>
  <c r="E55" i="5" s="1"/>
  <c r="E53" i="5"/>
  <c r="D10" i="10"/>
  <c r="D30" i="9"/>
  <c r="D32" i="9" s="1"/>
  <c r="G14" i="11" s="1"/>
  <c r="G15" i="11" s="1"/>
  <c r="G30" i="9" l="1"/>
  <c r="G32" i="9" s="1"/>
  <c r="J14" i="11" s="1"/>
  <c r="J15" i="11" s="1"/>
  <c r="D11" i="10"/>
  <c r="D12" i="10" s="1"/>
  <c r="E15" i="11"/>
  <c r="E18" i="11"/>
  <c r="E19" i="11" s="1"/>
  <c r="B11" i="10"/>
  <c r="B12" i="10" s="1"/>
  <c r="E30" i="9"/>
  <c r="E32" i="9" s="1"/>
  <c r="H14" i="11" s="1"/>
  <c r="I9" i="11"/>
  <c r="I18" i="11"/>
  <c r="I19" i="11" s="1"/>
  <c r="F30" i="9"/>
  <c r="F32" i="9" s="1"/>
  <c r="I14" i="11" s="1"/>
  <c r="I15" i="11" s="1"/>
  <c r="C11" i="10"/>
  <c r="C12" i="10" s="1"/>
  <c r="J9" i="11"/>
  <c r="J18" i="11"/>
  <c r="J19" i="11" s="1"/>
  <c r="G18" i="11"/>
  <c r="G19" i="11" s="1"/>
  <c r="D9" i="11"/>
  <c r="D18" i="11"/>
  <c r="D19" i="11" s="1"/>
  <c r="D23" i="3"/>
  <c r="E18" i="3"/>
  <c r="D21" i="7"/>
  <c r="H15" i="11" l="1"/>
  <c r="H18" i="11"/>
  <c r="H19" i="11" s="1"/>
</calcChain>
</file>

<file path=xl/sharedStrings.xml><?xml version="1.0" encoding="utf-8"?>
<sst xmlns="http://schemas.openxmlformats.org/spreadsheetml/2006/main" count="705" uniqueCount="635">
  <si>
    <t>ANÁLISE FORENSE — SAF BOTAFOGO</t>
  </si>
  <si>
    <t>Data de fechamento: 13/05/2026</t>
  </si>
  <si>
    <t>TESE CENTRAL</t>
  </si>
  <si>
    <t>FONTES PRIMÁRIAS</t>
  </si>
  <si>
    <t>Balanço auditado 2024 (reapresentado em 2025)</t>
  </si>
  <si>
    <t>BDO RCS, parecer 10/06/2025, going concern qualified</t>
  </si>
  <si>
    <t>Balanço auditado 2025</t>
  </si>
  <si>
    <t>BDO RCS, parecer 08/05/2026, ABSTENÇÃO DE OPINIÃO (7 bases)</t>
  </si>
  <si>
    <t>Reapresentações 2023</t>
  </si>
  <si>
    <t>Notas 3.1/3.2 do balanço auditado 2024 (ITG 2003 R2)</t>
  </si>
  <si>
    <t>Reapresentação 2024</t>
  </si>
  <si>
    <t>Nota 3.1 do balanço auditado 2025</t>
  </si>
  <si>
    <t>FONTES SECUNDÁRIAS</t>
  </si>
  <si>
    <t>Balanço OL SASU 2025</t>
  </si>
  <si>
    <t>Publicado 12/05/2026, contraclaim R$ 727 MM contra Botafogo</t>
  </si>
  <si>
    <t>Tribunal Arbitral FGV</t>
  </si>
  <si>
    <t>Afastamento Textor 23/04/2026; devolução direitos políticos Eagle 11/05/2026</t>
  </si>
  <si>
    <t>TJ-RJ 2ª Vara Empresarial</t>
  </si>
  <si>
    <t>Suspensão decisão arbitral 12/05/2026</t>
  </si>
  <si>
    <t>Petição inicial RJ</t>
  </si>
  <si>
    <t>Protocolo 22/04/2026 — Lei 11.101/2005 + 14.193/2021</t>
  </si>
  <si>
    <t>CONVENÇÕES VISUAIS</t>
  </si>
  <si>
    <t>Azul</t>
  </si>
  <si>
    <t>Input hardcoded (vem da fonte primária)</t>
  </si>
  <si>
    <t>Preto</t>
  </si>
  <si>
    <t>Fórmula (calculado a partir de inputs)</t>
  </si>
  <si>
    <t>Verde</t>
  </si>
  <si>
    <t>Link entre abas dentro da planilha</t>
  </si>
  <si>
    <t>Amarelo (fundo)</t>
  </si>
  <si>
    <t>Premissa-chave editável que pode mudar com novas evidências</t>
  </si>
  <si>
    <t>Cinza (fundo)</t>
  </si>
  <si>
    <t>Subtotais e totais</t>
  </si>
  <si>
    <t>UNIDADES E CÂMBIO</t>
  </si>
  <si>
    <t>Valores monetários</t>
  </si>
  <si>
    <t>R$ mil (milhares de reais), exceto onde indicado</t>
  </si>
  <si>
    <t>Câmbio referência</t>
  </si>
  <si>
    <t>R$ 5,80 / EUR (premissa, ajustável em Premissas Runway)</t>
  </si>
  <si>
    <t>NOTAS METODOLÓGICAS</t>
  </si>
  <si>
    <t>• Reapresentação ITG 2003 R2: vendas de atletas em linha separada (Receitas com transações de direitos de atletas).</t>
  </si>
  <si>
    <t>• EBITDA recorrente puro = Resultado operacional antes da alienação + D&amp;A pura − não-recorrentes (LFU 20% em 2023; recuperação de gastos em 2025).</t>
  </si>
  <si>
    <t>• Folha ampliada = salários + encargos + benefícios + direitos de imagem (custos + DGA), sem amortização de atletas.</t>
  </si>
  <si>
    <t>• 4 condições de competitividade (critérios rigorosos): folha ≤ 65% RL; EBITDA ≥ +5% margem; capex atletas ≤ receita cessão; caixa ≥ 1 mês de saídas.</t>
  </si>
  <si>
    <t>• 3 cenários de runway (Otimista, Base, Pessimista) × 2 anos (2026-2027). Aporte de capital novo = R$ 0 em TODOS os cenários (premissa firme).</t>
  </si>
  <si>
    <t>• Disputa política Textor/Eagle/Lyon FORA do escopo editorial. Impactos financeiros mensuráveis incluídos, teatro político omitido.</t>
  </si>
  <si>
    <t>• Validação: Total Ativo = Total Passivo + PL nos 3 anos (ver indicador de check no rodapé do BP).</t>
  </si>
  <si>
    <t>ESTRUTURA DESTA PLANILHA</t>
  </si>
  <si>
    <t>1. BP</t>
  </si>
  <si>
    <t>3 anos lado a lado (2023r, 2024r, 2025); validação A = P + PL</t>
  </si>
  <si>
    <t>2. DRE</t>
  </si>
  <si>
    <t>3 anos com margens; estrutura ITG 2003 R2</t>
  </si>
  <si>
    <t>3. Receita Detalhada</t>
  </si>
  <si>
    <t>Decomposição: recorrente vs premiações vs bilheteria vs cessão</t>
  </si>
  <si>
    <t>4. DFC</t>
  </si>
  <si>
    <t>3 anos, método indireto</t>
  </si>
  <si>
    <t>5. Operacional Puro</t>
  </si>
  <si>
    <t>EBITDA recorrente puro 2022-2025: reconciliação reportado → puro</t>
  </si>
  <si>
    <t>6. Indicadores</t>
  </si>
  <si>
    <t>Síntese: liquidez, endividamento, operacional, folha</t>
  </si>
  <si>
    <t>7. Premissas Runway</t>
  </si>
  <si>
    <t>Premissas editáveis dos 3 cenários × 2 anos</t>
  </si>
  <si>
    <t>8. Modelo Runway</t>
  </si>
  <si>
    <t>DRE+DFC simplificado nos 3 cenários × 2026 + 2027</t>
  </si>
  <si>
    <t>9. Resumo Cenários</t>
  </si>
  <si>
    <t>Visão consolidada + observação Lyon em cada cenário</t>
  </si>
  <si>
    <t>10. Caminho A — Trajetória</t>
  </si>
  <si>
    <t>Matriz 4 condições × 3 cenários × 2 anos = 24 testes</t>
  </si>
  <si>
    <t>Anexos analíticos</t>
  </si>
  <si>
    <t>Suporte do Controlador (5 pilares); Garantias e Factoring; Cenários Impairment</t>
  </si>
  <si>
    <t>BALANÇO PATRIMONIAL — CONTROLADORA (R$ mil)</t>
  </si>
  <si>
    <t>Linha</t>
  </si>
  <si>
    <t>2023 reapres</t>
  </si>
  <si>
    <t>2024 reapres</t>
  </si>
  <si>
    <t>2025</t>
  </si>
  <si>
    <t>Δ 2025 vs 2024r</t>
  </si>
  <si>
    <t>Δ % 2025 vs 2024r</t>
  </si>
  <si>
    <t>ATIVO</t>
  </si>
  <si>
    <t>Ativo Circulante</t>
  </si>
  <si>
    <t xml:space="preserve">  Caixa e equivalentes de caixa</t>
  </si>
  <si>
    <t xml:space="preserve">  Contas a receber</t>
  </si>
  <si>
    <t xml:space="preserve">  Estoque</t>
  </si>
  <si>
    <t xml:space="preserve">  Partes relacionadas</t>
  </si>
  <si>
    <t xml:space="preserve">  Adiantamentos</t>
  </si>
  <si>
    <t xml:space="preserve">  Impostos a recuperar</t>
  </si>
  <si>
    <t xml:space="preserve">  Despesas antecipadas</t>
  </si>
  <si>
    <t>Total Ativo Circulante</t>
  </si>
  <si>
    <t>Ativo Não-Circulante</t>
  </si>
  <si>
    <t xml:space="preserve">  Contas a receber (LP)</t>
  </si>
  <si>
    <t xml:space="preserve">  Partes relacionadas (LP)</t>
  </si>
  <si>
    <t xml:space="preserve">  Outros ativos</t>
  </si>
  <si>
    <t xml:space="preserve">  Investimento (sub)</t>
  </si>
  <si>
    <t xml:space="preserve">  Ativo de Direito de Uso</t>
  </si>
  <si>
    <t xml:space="preserve">  Imobilizado</t>
  </si>
  <si>
    <t xml:space="preserve">  Intangível</t>
  </si>
  <si>
    <t>Total Ativo Não-Circulante</t>
  </si>
  <si>
    <t>TOTAL DO ATIVO</t>
  </si>
  <si>
    <t>PASSIVO</t>
  </si>
  <si>
    <t>Passivo Circulante</t>
  </si>
  <si>
    <t xml:space="preserve">  Fornecedores e contas a pagar</t>
  </si>
  <si>
    <t xml:space="preserve">  Empréstimos e financiamentos</t>
  </si>
  <si>
    <t xml:space="preserve">  Obrigações trabalhistas</t>
  </si>
  <si>
    <t xml:space="preserve">  Obrigações tributárias</t>
  </si>
  <si>
    <t xml:space="preserve">  Partes relacionadas passivo</t>
  </si>
  <si>
    <t xml:space="preserve">  Passivo de arrendamento</t>
  </si>
  <si>
    <t xml:space="preserve">  Receita diferida</t>
  </si>
  <si>
    <t xml:space="preserve">  Adiantamento de clientes</t>
  </si>
  <si>
    <t>Total Passivo Circulante</t>
  </si>
  <si>
    <t>Passivo Não-Circulante</t>
  </si>
  <si>
    <t xml:space="preserve">  Fornecedores e contas a pagar (LP)</t>
  </si>
  <si>
    <t xml:space="preserve">  Empréstimos e financiamentos (LP)</t>
  </si>
  <si>
    <t xml:space="preserve">  Obrigações tributárias (LP)</t>
  </si>
  <si>
    <t xml:space="preserve">  Provisão para contingências</t>
  </si>
  <si>
    <t xml:space="preserve">  Passivo de arrendamento (LP)</t>
  </si>
  <si>
    <t xml:space="preserve">  Receita diferida (LP)</t>
  </si>
  <si>
    <t>Total Passivo Não-Circulante</t>
  </si>
  <si>
    <t>TOTAL DO PASSIVO</t>
  </si>
  <si>
    <t>PATRIMÔNIO LÍQUIDO</t>
  </si>
  <si>
    <t xml:space="preserve">  Capital Social</t>
  </si>
  <si>
    <t xml:space="preserve">  Prejuízo acumulado (anteriores)</t>
  </si>
  <si>
    <t xml:space="preserve">  Resultado do exercício</t>
  </si>
  <si>
    <t>TOTAL DO PATRIMÔNIO LÍQUIDO</t>
  </si>
  <si>
    <t>TOTAL PASSIVO + PL</t>
  </si>
  <si>
    <t>CHECK: Ativo − (Passivo + PL) (deve ser ~0)</t>
  </si>
  <si>
    <t>Notas:</t>
  </si>
  <si>
    <t>(1) 2023 reapres: balanço auditado 2024 (notas 3.1/3.2). Diferença ~R$ 1 mil = arredondamento auditoria.</t>
  </si>
  <si>
    <t>(2) 2024 reapres: nota 3.1 do balanço 2025 (ajuste +R$ 33 MM em partes relacionadas / outras receitas operacionais).</t>
  </si>
  <si>
    <t>(3) Auditor 2025 cita R$ 1.281.283 mil em partes relacionadas ATIVO e R$ 732.211 mil em PASSIVO no parecer — ver Cenários Impairment e Garantias e Factoring.</t>
  </si>
  <si>
    <t>(4) CCL 2023r +R$ -216 MM já era negativo; piora para -R$ 952 MM em 2025 (~4x deterioração em 2 anos).</t>
  </si>
  <si>
    <t>DEMONSTRAÇÃO DO RESULTADO — CONTROLADORA (R$ mil)</t>
  </si>
  <si>
    <t>Receita Operacional Bruta</t>
  </si>
  <si>
    <t>Deduções sobre a receita</t>
  </si>
  <si>
    <t>Receita Operacional, líquida</t>
  </si>
  <si>
    <t>Custo dos serviços prestados</t>
  </si>
  <si>
    <t>Resultado Bruto</t>
  </si>
  <si>
    <t>Despesas gerais e administrativas</t>
  </si>
  <si>
    <t>Outras despesas operacionais</t>
  </si>
  <si>
    <t>Outras receitas operacionais</t>
  </si>
  <si>
    <t>Resultado de equivalência patrimonial</t>
  </si>
  <si>
    <t>Resultado Operacional Antes da Alienação de Ativos</t>
  </si>
  <si>
    <t>Receitas com transações de direitos de atletas</t>
  </si>
  <si>
    <t>Gastos na transação de direitos de atletas</t>
  </si>
  <si>
    <t>Resultado Operacional Total (após cessão atletas)</t>
  </si>
  <si>
    <t>Resultado financeiro líquido</t>
  </si>
  <si>
    <t>PREJUÍZO DO EXERCÍCIO</t>
  </si>
  <si>
    <t>INDICADORES DERIVADOS</t>
  </si>
  <si>
    <t xml:space="preserve">  Margem bruta</t>
  </si>
  <si>
    <t xml:space="preserve">  Margem operacional pré-alienação</t>
  </si>
  <si>
    <t xml:space="preserve">  Margem líquida</t>
  </si>
  <si>
    <t xml:space="preserve">  Crescimento receita líquida YoY</t>
  </si>
  <si>
    <t xml:space="preserve">  Resultado líquido cessão atletas</t>
  </si>
  <si>
    <t>(1) 2023 reapres: estrutura ITG 2003 R2. Linha "Outras receitas operacionais" inclui R$ 165 MM da venda LFU 20% (não-recorrente — ajustado em Operacional Puro).</t>
  </si>
  <si>
    <t>(2) Reapresentação 2024: ajuste de +R$ 33 MM em "Outras receitas operacionais" reduziu o prejuízo de R$ 300 MM para R$ 267 MM.</t>
  </si>
  <si>
    <t>(3) Em 2025, receita cessão atletas (R$ 733 MM) é 8x maior que 2024. Sem essa linha, prejuízo seria ~R$ 575 MM (vs R$ 290 MM efetivo).</t>
  </si>
  <si>
    <t>(4) Receita líquida cresceu apenas 4% em 2025, abaixo da inflação, mesmo com Mundial de Clubes (R$ 148 MM).</t>
  </si>
  <si>
    <t>RECEITA DETALHADA — DECOMPOSIÇÃO POR CATEGORIA (R$ mil)</t>
  </si>
  <si>
    <t>2022</t>
  </si>
  <si>
    <t>2023</t>
  </si>
  <si>
    <t>2024</t>
  </si>
  <si>
    <t>Δ 2025 vs 2024</t>
  </si>
  <si>
    <t>RECORRENTE (BASE ESTRUTURAL)</t>
  </si>
  <si>
    <t xml:space="preserve">  Direitos transmissão — Brasileirão</t>
  </si>
  <si>
    <t xml:space="preserve">  Direitos transmissão — Carioca</t>
  </si>
  <si>
    <t xml:space="preserve">  Patrocínio Master</t>
  </si>
  <si>
    <t xml:space="preserve">  Outros Patrocínios + Publicidade + Digital</t>
  </si>
  <si>
    <t xml:space="preserve">  Camisa 7 (sócio torcedor)</t>
  </si>
  <si>
    <t xml:space="preserve">  Camisa 6 (sócio CT)</t>
  </si>
  <si>
    <t xml:space="preserve">  Licenciamento</t>
  </si>
  <si>
    <t xml:space="preserve">  Botafogo Store (mercadorias)</t>
  </si>
  <si>
    <t xml:space="preserve">  Locações estádio + camarotes</t>
  </si>
  <si>
    <t xml:space="preserve">  Permuta + projetos incentivados + outros</t>
  </si>
  <si>
    <t>Subtotal Recorrente</t>
  </si>
  <si>
    <t>PREMIAÇÕES E PARTICIPAÇÕES (EVENTUAIS)</t>
  </si>
  <si>
    <t xml:space="preserve">  Copa Libertadores</t>
  </si>
  <si>
    <t xml:space="preserve">  Mundial de Clubes FIFA</t>
  </si>
  <si>
    <t xml:space="preserve">  Copa Intercontinental</t>
  </si>
  <si>
    <t xml:space="preserve">  Copa do Brasil</t>
  </si>
  <si>
    <t xml:space="preserve">  Brasileirão (premiação)</t>
  </si>
  <si>
    <t xml:space="preserve">  Supercopa</t>
  </si>
  <si>
    <t xml:space="preserve">  Recopa</t>
  </si>
  <si>
    <t xml:space="preserve">  Outros (Feminino, etc)</t>
  </si>
  <si>
    <t>Subtotal Premiações</t>
  </si>
  <si>
    <t>BILHETERIA</t>
  </si>
  <si>
    <t xml:space="preserve">  Bilheteria total</t>
  </si>
  <si>
    <t>CESSÃO DE ATLETAS — RECEITAS</t>
  </si>
  <si>
    <t xml:space="preserve">  Cessão temporária + solidariedade (em rec operacional)</t>
  </si>
  <si>
    <t xml:space="preserve">  Cessão definitiva (fora da rec operacional)</t>
  </si>
  <si>
    <t>Subtotal Cessão Atletas</t>
  </si>
  <si>
    <t>TOTAIS</t>
  </si>
  <si>
    <t xml:space="preserve">  Receita Operacional Bruta (sem cessão definitiva)</t>
  </si>
  <si>
    <t xml:space="preserve">  Receita Total com Cessão Definitiva</t>
  </si>
  <si>
    <t>TESTES CONTRAFACTUAIS — 2024 e 2025</t>
  </si>
  <si>
    <t xml:space="preserve">  Receita 2025 sem Mundial de Clubes</t>
  </si>
  <si>
    <t xml:space="preserve">  Receita 2025 sem Mundial nem Libertadores</t>
  </si>
  <si>
    <t xml:space="preserve">  Δ Receita recorrente pura 2025 vs 2024 (R$)</t>
  </si>
  <si>
    <t xml:space="preserve">  Δ Receita recorrente pura 2025 vs 2024 (%)</t>
  </si>
  <si>
    <t>(1) 2022-2023: dados parciais via charts do Relatório de Gestão 2025. Algumas linhas combinadas onde detalhe não disponível.</t>
  </si>
  <si>
    <t>(2) Recorrente cresceu apenas ~7% YoY 2025 vs 2024 — abaixo da inflação. A "receita inflada" de 2025 vem de Mundial + cessão.</t>
  </si>
  <si>
    <t>(3) Sem Mundial de Clubes (R$ 148 MM, evento único), receita 2025 seria ~R$ 507 MM — abaixo dos R$ 607 MM de 2024.</t>
  </si>
  <si>
    <t>(4) Receita cessão definitiva R$ 733 MM em 2025 = 8x 2024. Sem essa linha, prejuízo recorrente seria ~R$ 575 MM.</t>
  </si>
  <si>
    <t>DEMONSTRAÇÃO DOS FLUXOS DE CAIXA — CONTROLADORA (R$ mil)</t>
  </si>
  <si>
    <t>ATIVIDADES OPERACIONAIS</t>
  </si>
  <si>
    <t xml:space="preserve">  Prejuízo do exercício</t>
  </si>
  <si>
    <t xml:space="preserve">  Ajuste de exercícios anteriores</t>
  </si>
  <si>
    <t xml:space="preserve">  Depreciação e amortização</t>
  </si>
  <si>
    <t xml:space="preserve">  Baixa de imobilizado</t>
  </si>
  <si>
    <t xml:space="preserve">  Baixa de atletas</t>
  </si>
  <si>
    <t xml:space="preserve">  Atualização monetária</t>
  </si>
  <si>
    <t xml:space="preserve">  Ajuste a valor presente</t>
  </si>
  <si>
    <t xml:space="preserve">  Diferença de variação cambial líquida</t>
  </si>
  <si>
    <t xml:space="preserve">  Depreciação de arrendamento (direito de uso)</t>
  </si>
  <si>
    <t xml:space="preserve">  Equivalência patrimonial</t>
  </si>
  <si>
    <t>Subtotal — Ajustes não-caixa (inclui prejuízo)</t>
  </si>
  <si>
    <t>VARIAÇÃO DE WORKING CAPITAL</t>
  </si>
  <si>
    <t xml:space="preserve">  Δ Contas a receber</t>
  </si>
  <si>
    <t xml:space="preserve">  Δ Estoque</t>
  </si>
  <si>
    <t xml:space="preserve">  Δ Impostos a recuperar</t>
  </si>
  <si>
    <t xml:space="preserve">  Δ Outros ativos</t>
  </si>
  <si>
    <t xml:space="preserve">  Δ Investimentos</t>
  </si>
  <si>
    <t xml:space="preserve">  Δ Adiantamentos ativos</t>
  </si>
  <si>
    <t xml:space="preserve">  Δ Despesas antecipadas</t>
  </si>
  <si>
    <t xml:space="preserve">  Δ Fornecedores e contas a pagar</t>
  </si>
  <si>
    <t xml:space="preserve">  Δ Adiantamentos passivos</t>
  </si>
  <si>
    <t xml:space="preserve">  Δ Obrigações sociais e trabalhistas</t>
  </si>
  <si>
    <t xml:space="preserve">  Δ Obrigações tributárias</t>
  </si>
  <si>
    <t xml:space="preserve">  Δ Provisão para contingências</t>
  </si>
  <si>
    <t xml:space="preserve">  Δ Receita diferida</t>
  </si>
  <si>
    <t>Subtotal — Variação de WC</t>
  </si>
  <si>
    <t>Caixa gerado nas operações</t>
  </si>
  <si>
    <t xml:space="preserve">  Impostos pagos</t>
  </si>
  <si>
    <t xml:space="preserve">  Juros pagos</t>
  </si>
  <si>
    <t>CAIXA LÍQUIDO DAS ATIVIDADES OPERACIONAIS</t>
  </si>
  <si>
    <t>ATIVIDADES DE INVESTIMENTO</t>
  </si>
  <si>
    <t xml:space="preserve">  Mútuo com partes relacionadas</t>
  </si>
  <si>
    <t xml:space="preserve">  Aquisição de Ativo de Direito de Uso</t>
  </si>
  <si>
    <t xml:space="preserve">  Aquisições do Imobilizado</t>
  </si>
  <si>
    <t xml:space="preserve">  Aquisições do Intangível</t>
  </si>
  <si>
    <t>CAIXA LÍQUIDO DAS ATIVIDADES DE INVESTIMENTO</t>
  </si>
  <si>
    <t>ATIVIDADES DE FINANCIAMENTO</t>
  </si>
  <si>
    <t xml:space="preserve">  Aporte de capital</t>
  </si>
  <si>
    <t xml:space="preserve">  Contratação de empréstimos</t>
  </si>
  <si>
    <t xml:space="preserve">  Pagamento de empréstimos</t>
  </si>
  <si>
    <t xml:space="preserve">  Pagamento de direito de uso</t>
  </si>
  <si>
    <t xml:space="preserve">  Juros apropriados</t>
  </si>
  <si>
    <t xml:space="preserve">  Variação cambial realizada</t>
  </si>
  <si>
    <t>CAIXA LÍQUIDO DAS ATIVIDADES DE FINANCIAMENTO</t>
  </si>
  <si>
    <t>VARIAÇÃO LÍQUIDA DE CAIXA</t>
  </si>
  <si>
    <t>Caixa inicial</t>
  </si>
  <si>
    <t>Caixa final</t>
  </si>
  <si>
    <t>LEITURA ANALÍTICA</t>
  </si>
  <si>
    <t xml:space="preserve">  Caixa op puro (excl. WC)</t>
  </si>
  <si>
    <t xml:space="preserve">  Contribuição WC para caixa op</t>
  </si>
  <si>
    <t xml:space="preserve">  Investimento líquido em atletas (caixa)</t>
  </si>
  <si>
    <t xml:space="preserve">  Aporte do controlador no ano</t>
  </si>
  <si>
    <t>(1) Caixa operacional puro (excl. WC) foi -R$ 40 MM em 2023r, -R$ 121 MM em 2024r, -R$ 431 MM em 2025. Operação consome caixa antes do stretch de WC.</t>
  </si>
  <si>
    <t>(2) Δ Receita diferida virou negativa em 2025 (-R$ 188 MM): operação OL SASU €56,4 MM entrou em fase de amortização contábil.</t>
  </si>
  <si>
    <t>(3) Aporte de capital zerado em 2025 — manifestação do colapso do pilar 1 (Eagle).</t>
  </si>
  <si>
    <t>(4) Δ Fornecedores +R$ 571 MM em 2025: a SAF financiou R$ 870 MM em compras de atletas postergando pagamento a clubes vendedores.</t>
  </si>
  <si>
    <t>(5) 2023 mostra mútuo c/ partes relacionadas de -R$ 506 MM (saída de caixa para Eagle/grupo) — sinal de drenagem que precede a operação Lyon de 2024.</t>
  </si>
  <si>
    <t>EBITDA RECORRENTE PURO — RECONCILIAÇÃO 2022-2025 (R$ mil)</t>
  </si>
  <si>
    <t>A operação recorrente da SAF nunca foi positiva em 4 anos.</t>
  </si>
  <si>
    <t>PARTIDA: RESULTADO OPERACIONAL ANTES DA ALIENAÇÃO</t>
  </si>
  <si>
    <t xml:space="preserve">  Resultado Operacional Antes da Alienação de Ativos</t>
  </si>
  <si>
    <t>AJUSTES PARA EBITDA RECORRENTE PURO</t>
  </si>
  <si>
    <t xml:space="preserve">  (+) Depreciação e amortização (D&amp;A pura)</t>
  </si>
  <si>
    <t xml:space="preserve">  (−) LFU 20% 2023 (não-recorrente)</t>
  </si>
  <si>
    <t xml:space="preserve">  (−) Recuperação de gastos 2025 (não-recorrente)</t>
  </si>
  <si>
    <t xml:space="preserve">  (+/−) Outros ajustes auxiliares</t>
  </si>
  <si>
    <t>EBITDA RECORRENTE PURO</t>
  </si>
  <si>
    <t>CONTEXTUALIZAÇÃO</t>
  </si>
  <si>
    <t xml:space="preserve">  Receita operacional líquida</t>
  </si>
  <si>
    <t xml:space="preserve">  Margem EBITDA recorrente puro</t>
  </si>
  <si>
    <t xml:space="preserve">  YoY EBITDA recorrente puro (Δ R$)</t>
  </si>
  <si>
    <t>CHECAGEM CRUZADA — EBITDA REPORTADO → PURO</t>
  </si>
  <si>
    <t xml:space="preserve">  EBITDA reportado pelo clube (consolidado)</t>
  </si>
  <si>
    <t xml:space="preserve">  (−) Lucro líquido cessão atletas</t>
  </si>
  <si>
    <t xml:space="preserve">  (+/−) Ajustes auxiliares (LFU 2023, recuperação 2025)</t>
  </si>
  <si>
    <t>EBITDA recorrente puro — cálculo cruzado</t>
  </si>
  <si>
    <t>Notas metodológicas:</t>
  </si>
  <si>
    <t>(1) D&amp;A pura = depreciação + amortização (atletas em posse + intangíveis técnicos + arrendamento). EXCLUI baixa de atletas vendidos (parte do custo de cessão).</t>
  </si>
  <si>
    <t>(2) Recuperação de gastos R$ 50,5 MM em 2025 = reversão de provisões com atletas e intermediários (nota 23.1). Não-recorrente — ajusta para baixo.</t>
  </si>
  <si>
    <t>(3) 2023 reapres: "Outras receitas operacionais" inclui R$ 165 MM da venda LFU 20% (Brasileirão Holdings). Sem isso, EBITDA recorrente 2023 = -R$ 91 MM.</t>
  </si>
  <si>
    <t>(4) EBITDA reportado 2025 R$ 604 MM é tecnicamente correto mas inclui R$ 733 MM de receita cessão sem subtrair R$ 337 MM de baixa de atletas vendidos.</t>
  </si>
  <si>
    <t>(5) Conclusão: EBITDA recorrente puro nunca foi positivo em 4 anos. Melhora em 2025 é puxada por (a) cessão de atletas e (b) reversões não-recorrentes.</t>
  </si>
  <si>
    <t>INDICADORES FINANCEIROS — SÍNTESE (R$ mil ou %, conforme indicado)</t>
  </si>
  <si>
    <t>Indicador</t>
  </si>
  <si>
    <t>Critério/Bench</t>
  </si>
  <si>
    <t>1. LIQUIDEZ</t>
  </si>
  <si>
    <t xml:space="preserve">  Capital Circulante Líquido (AC − PC)</t>
  </si>
  <si>
    <t>Deve ser &gt; 0</t>
  </si>
  <si>
    <t xml:space="preserve">  Liquidez Corrente (AC / PC)</t>
  </si>
  <si>
    <t>≥ 1,0x</t>
  </si>
  <si>
    <t xml:space="preserve">  Liquidez Imediata (Caixa / PC)</t>
  </si>
  <si>
    <t>≥ 0,10x</t>
  </si>
  <si>
    <t xml:space="preserve">  Caixa / (Fornecedores CP + Empréstimos CP)</t>
  </si>
  <si>
    <t>≥ 10%</t>
  </si>
  <si>
    <t>2. ENDIVIDAMENTO</t>
  </si>
  <si>
    <t xml:space="preserve">  Dívida total bruta (Empréstimos CP + LP)</t>
  </si>
  <si>
    <t>—</t>
  </si>
  <si>
    <t xml:space="preserve">  Dívida líquida (bruta − caixa)</t>
  </si>
  <si>
    <t xml:space="preserve">  Passivo Total / Ativo Total</t>
  </si>
  <si>
    <t>≤ 70%</t>
  </si>
  <si>
    <t xml:space="preserve">  PL / Ativo Total</t>
  </si>
  <si>
    <t>&gt; 0%</t>
  </si>
  <si>
    <t xml:space="preserve">  Fornecedores totais / Receita Operacional Bruta</t>
  </si>
  <si>
    <t>&lt; 50%</t>
  </si>
  <si>
    <t>3. OPERACIONAL</t>
  </si>
  <si>
    <t xml:space="preserve">  Margem op antes alienação</t>
  </si>
  <si>
    <t>≥ +5%</t>
  </si>
  <si>
    <t xml:space="preserve">  Capex atletas / Receita cessão atletas</t>
  </si>
  <si>
    <t>≤ 1,0x</t>
  </si>
  <si>
    <t>4. FOLHA AMPLIADA</t>
  </si>
  <si>
    <t xml:space="preserve">  Salários, encargos e benefícios (custos + DGA)</t>
  </si>
  <si>
    <t xml:space="preserve">  Direitos de imagem (custos + DGA)</t>
  </si>
  <si>
    <t xml:space="preserve">  Folha ampliada total</t>
  </si>
  <si>
    <t xml:space="preserve">  Folha ampliada / Receita Líquida</t>
  </si>
  <si>
    <t>≤ 65%</t>
  </si>
  <si>
    <t xml:space="preserve">  Folha ampliada / Receita Op Bruta</t>
  </si>
  <si>
    <t>5. GERAÇÃO DE CAIXA</t>
  </si>
  <si>
    <t xml:space="preserve">  Caixa op puro (excl. WC, R$ mil)</t>
  </si>
  <si>
    <t>Linkado DFC</t>
  </si>
  <si>
    <t xml:space="preserve">  Aporte do controlador (R$ mil)</t>
  </si>
  <si>
    <t xml:space="preserve">  Capex intangível (atletas, R$ mil)</t>
  </si>
  <si>
    <t>(1) Folha ampliada 2023 estimada — detalhe não disponível nos prints. Valor pode subir para ~R$ 220 MM se incluir totais finos das notas explicativas.</t>
  </si>
  <si>
    <t>(2) Liquidez Corrente caiu de 0,69x (2023r) → 0,77x (2024r) → 0,15x (2025). Deterioração severa em 1 ano.</t>
  </si>
  <si>
    <t>(3) Caixa op puro -R$ 431 MM em 2025 = clube precisaria de R$ 36 MM/mês de aporte só para empatar fluxo operacional.</t>
  </si>
  <si>
    <t>PREMISSAS RUNWAY 2026-2027 — 3 CENÁRIOS</t>
  </si>
  <si>
    <t>Todas as premissas em azul são editáveis. Aporte = R$ 0 em TODOS os cenários (premissa firme).</t>
  </si>
  <si>
    <t>Premissa</t>
  </si>
  <si>
    <t>Otimista</t>
  </si>
  <si>
    <t>Base</t>
  </si>
  <si>
    <t>Pessimista</t>
  </si>
  <si>
    <t>PREMISSAS DE PARTIDA (base 2025)</t>
  </si>
  <si>
    <t xml:space="preserve">  Receita operacional bruta 2025 (link DRE)</t>
  </si>
  <si>
    <t xml:space="preserve">  (−) Mundial de Clubes 2025 (não-recorrente)</t>
  </si>
  <si>
    <t xml:space="preserve">  (−) Libertadores 2025 (não-recorrente parcial)</t>
  </si>
  <si>
    <t xml:space="preserve">  Receita recorrente base normalizada</t>
  </si>
  <si>
    <t>CRESCIMENTO E DESEMPENHO ESPORTIVO 2026</t>
  </si>
  <si>
    <t xml:space="preserve">  Crescimento receita recorrente 2026 vs base</t>
  </si>
  <si>
    <t xml:space="preserve">  Premiação esportiva esperada 2026 (Libertadores + Brasileirão)</t>
  </si>
  <si>
    <t xml:space="preserve">  Crescimento receita recorrente 2027 vs 2026</t>
  </si>
  <si>
    <t xml:space="preserve">  Premiação esportiva esperada 2027</t>
  </si>
  <si>
    <t>CESSÃO DE ATLETAS</t>
  </si>
  <si>
    <t xml:space="preserve">  Receita cessão atletas 2026 (venda massiva para fechar o ano)</t>
  </si>
  <si>
    <t xml:space="preserve">  Receita cessão atletas 2027 (pós-RJ; transfer bans caindo)</t>
  </si>
  <si>
    <t xml:space="preserve">  Custo cessão / receita cessão (histórico ~60%)</t>
  </si>
  <si>
    <t>CUSTOS OPERACIONAIS</t>
  </si>
  <si>
    <t xml:space="preserve">  Folha ampliada base 2025 (link Indicadores)</t>
  </si>
  <si>
    <t xml:space="preserve">  Redução de folha planejada 2026 (sob RJ)</t>
  </si>
  <si>
    <t xml:space="preserve">  Variação folha 2027 vs 2026</t>
  </si>
  <si>
    <t xml:space="preserve">  Outros custos op. (% da receita recorrente, ex-folha)</t>
  </si>
  <si>
    <t>INVESTIMENTO EM ATLETAS</t>
  </si>
  <si>
    <t xml:space="preserve">  Capex atletas 2026 (limite RJ — bem inferior a 2025)</t>
  </si>
  <si>
    <t xml:space="preserve">  Capex atletas 2027 (transfer bans caindo)</t>
  </si>
  <si>
    <t>FINANCEIRO</t>
  </si>
  <si>
    <t xml:space="preserve">  Despesa financeira recorrente 2026 (R$ mil)</t>
  </si>
  <si>
    <t xml:space="preserve">  Despesa financeira recorrente 2027 (R$ mil)</t>
  </si>
  <si>
    <t>CAIXA INICIAL</t>
  </si>
  <si>
    <t xml:space="preserve">  Caixa inicial 31/12/2025 (link BP)</t>
  </si>
  <si>
    <t xml:space="preserve">  Aporte de capital novo (TODOS os cenários)</t>
  </si>
  <si>
    <t>CÂMBIO</t>
  </si>
  <si>
    <t xml:space="preserve">  R$ / EUR</t>
  </si>
  <si>
    <t>(1) Aporte = R$ 0 em TODOS os cenários por premissa firme do post: a tese estuda a SAF sem o controlador.</t>
  </si>
  <si>
    <t>(3) Cenário Base assume desempenho mediano + RJ com prazos + cessão R$ 500 MM (3-4 jogadores vendidos a preço razoável).</t>
  </si>
  <si>
    <t>(4) Cenário Pessimista assume queda esportiva + RJ travada + cessão R$ 350 MM (preço comprimido + transfer bans).</t>
  </si>
  <si>
    <t>(5) Lyon NÃO é variável de cenário — entra como observação textual em Resumo Cenários. Impacto financeiro: ver Cenários Impairment.</t>
  </si>
  <si>
    <t>MODELO RUNWAY — 3 CENÁRIOS × 2026 + 2027 (R$ mil)</t>
  </si>
  <si>
    <t>Aporte de capital = R$ 0 em todos os cenários. Lyon como observação textual em Resumo Cenários.</t>
  </si>
  <si>
    <t>2026</t>
  </si>
  <si>
    <t>2027</t>
  </si>
  <si>
    <t>Pessim.</t>
  </si>
  <si>
    <t>DRE SIMPLIFICADA — 2026 e 2027</t>
  </si>
  <si>
    <t xml:space="preserve">  Receita recorrente</t>
  </si>
  <si>
    <t xml:space="preserve">  Premiação esportiva</t>
  </si>
  <si>
    <t xml:space="preserve">  Receita cessão atletas</t>
  </si>
  <si>
    <t xml:space="preserve">  Receita TOTAL</t>
  </si>
  <si>
    <t xml:space="preserve">  Folha ampliada (custo)</t>
  </si>
  <si>
    <t xml:space="preserve">  Outros custos operacionais (% receita rec)</t>
  </si>
  <si>
    <t xml:space="preserve">  Custo cessão atletas</t>
  </si>
  <si>
    <t xml:space="preserve">  Resultado operacional</t>
  </si>
  <si>
    <t xml:space="preserve">  Despesa financeira</t>
  </si>
  <si>
    <t>RESULTADO LÍQUIDO PROJETADO</t>
  </si>
  <si>
    <t>PROJEÇÃO DE CAIXA (DFC SIMPLIFICADA)</t>
  </si>
  <si>
    <t xml:space="preserve">  Caixa inicial</t>
  </si>
  <si>
    <t xml:space="preserve">  + Aporte capital novo</t>
  </si>
  <si>
    <t xml:space="preserve">  + Resultado op (proxy caixa)</t>
  </si>
  <si>
    <t xml:space="preserve">  − Capex atletas</t>
  </si>
  <si>
    <t>Caixa esperado fim do ano</t>
  </si>
  <si>
    <t>INDICADORES POR CENÁRIO/ANO (uso na aba Caminho A)</t>
  </si>
  <si>
    <t xml:space="preserve">  Folha ampliada / Receita rec (cond 1)</t>
  </si>
  <si>
    <t xml:space="preserve">  EBITDA recorrente puro proxy (cond 2)</t>
  </si>
  <si>
    <t xml:space="preserve">  Margem EBITDA recorrente puro (cond 2 %)</t>
  </si>
  <si>
    <t xml:space="preserve">  Capex atletas / Receita cessão atletas (cond 3)</t>
  </si>
  <si>
    <t xml:space="preserve">  Caixa fim do ano (cond 4 numerador)</t>
  </si>
  <si>
    <t xml:space="preserve">  Saídas op mensais (cond 4 denominador)</t>
  </si>
  <si>
    <t xml:space="preserve">  Cobertura caixa em meses (cond 4)</t>
  </si>
  <si>
    <t>(1) Modelo simplificado — DRE + caixa esquemático. Não substitui um budget completo, mas serve para teste das 4 condições.</t>
  </si>
  <si>
    <t>(2) Caixa fim 2027 reusa caixa fim 2026 como ponto de partida (running).</t>
  </si>
  <si>
    <t>(3) "EBITDA recorrente puro proxy" = Resultado op − receita cessão − custo cessão. Mesma lógica da aba Operacional Puro.</t>
  </si>
  <si>
    <t>(4) "Saídas op mensais" para cobertura caixa = (folha + outros + |dfin|)/12. Ignora capex atletas (considerado discricionário).</t>
  </si>
  <si>
    <t>RESUMO CENÁRIOS — VISÃO CONSOLIDADA 2026-2027</t>
  </si>
  <si>
    <t>Item</t>
  </si>
  <si>
    <t>RESULTADO LÍQUIDO PROJETADO (R$ mil)</t>
  </si>
  <si>
    <t xml:space="preserve">  2026</t>
  </si>
  <si>
    <t xml:space="preserve">  2027</t>
  </si>
  <si>
    <t xml:space="preserve">  Acumulado 2026-2027</t>
  </si>
  <si>
    <t>CAIXA FIM DO ANO (R$ mil)</t>
  </si>
  <si>
    <t xml:space="preserve">  Caixa final 2026</t>
  </si>
  <si>
    <t xml:space="preserve">  Caixa final 2027</t>
  </si>
  <si>
    <t xml:space="preserve">  Sinal — caixa final 2027</t>
  </si>
  <si>
    <t>RECEITA TOTAL PROJETADA (R$ mil)</t>
  </si>
  <si>
    <t xml:space="preserve">  Receita total 2026</t>
  </si>
  <si>
    <t xml:space="preserve">  Receita total 2027</t>
  </si>
  <si>
    <t>NARRATIVA DOS CENÁRIOS</t>
  </si>
  <si>
    <t xml:space="preserve">  Desempenho esportivo</t>
  </si>
  <si>
    <t>Libertadores avança;
Brasileirão top 4</t>
  </si>
  <si>
    <t>Mediano;
Brasileirão top 8</t>
  </si>
  <si>
    <t>Queda esportiva;
zona neutra</t>
  </si>
  <si>
    <t xml:space="preserve">  Trajetória da RJ</t>
  </si>
  <si>
    <t>Plano aprovado limpo
com prazos viáveis</t>
  </si>
  <si>
    <t>Plano com deságios
moderados</t>
  </si>
  <si>
    <t>RJ travada ou liquidação</t>
  </si>
  <si>
    <t xml:space="preserve">  Transfer bans</t>
  </si>
  <si>
    <t>Resolvidos em 2026</t>
  </si>
  <si>
    <t>Resolvidos parcial.
em 2027</t>
  </si>
  <si>
    <t>Não resolvidos</t>
  </si>
  <si>
    <t xml:space="preserve">  Cessão atletas (R$ mil)</t>
  </si>
  <si>
    <t>2026: 700.000
2027: 400.000</t>
  </si>
  <si>
    <t>2026: 500.000
2027: 250.000</t>
  </si>
  <si>
    <t>2026: 350.000
2027: 100.000</t>
  </si>
  <si>
    <t xml:space="preserve">  Folha 2026 vs base</t>
  </si>
  <si>
    <t>−20%</t>
  </si>
  <si>
    <t>−10%</t>
  </si>
  <si>
    <t>mantida (sem corte)</t>
  </si>
  <si>
    <t xml:space="preserve">  Premissa firme</t>
  </si>
  <si>
    <t>Aporte = R$ 0</t>
  </si>
  <si>
    <t>OBSERVAÇÃO TEXTUAL — DISPUTA LYON (variável independente)</t>
  </si>
  <si>
    <t xml:space="preserve">  Cenário Lyon — SAF vence</t>
  </si>
  <si>
    <t>PL ajustado: R$ -542 MM
(impairment 0%)</t>
  </si>
  <si>
    <t>Idem (mesma trajetória)</t>
  </si>
  <si>
    <t xml:space="preserve">  Cenário Lyon — Acordo bilateral</t>
  </si>
  <si>
    <t>PL ajustado: R$ -1.196 MM
(impairment 50% + 50% Lyon)</t>
  </si>
  <si>
    <t>Idem</t>
  </si>
  <si>
    <t xml:space="preserve">  Cenário Lyon — Lyon vence</t>
  </si>
  <si>
    <t>PL ajustado: R$ -1.834 MM
(impairment 100% + Lyon integral)</t>
  </si>
  <si>
    <t>(1) Cenários macro (Otim/Base/Pess) modelam apenas operação e cessão atletas. A disputa Lyon entra como variável independente.</t>
  </si>
  <si>
    <t>(2) Para ver impacto patrimonial dos 3 sub-cenários Lyon (SAF ganha / Acordo / Lyon ganha), ver aba "Cenários Impairment".</t>
  </si>
  <si>
    <t>(3) Em TODOS os cenários, o aporte de capital novo é R$ 0 — premissa firme da análise.</t>
  </si>
  <si>
    <t>(4) Mesmo no Otimista, o caixa fim 2026 já fica negativo, indicando que a SAF precisará de fluxo extra (mais cessão ou refinanciamento) durante o ano.</t>
  </si>
  <si>
    <t>CAMINHO A — TRAJETÓRIA: 4 CONDIÇÕES × 3 CENÁRIOS × 2 ANOS</t>
  </si>
  <si>
    <t>Aplicação das 4 condições rigorosas de competitividade nos cenários 2026-2027. Históricos 2024r e 2025 incluídos para comparação.</t>
  </si>
  <si>
    <t>Condição</t>
  </si>
  <si>
    <t>Critério</t>
  </si>
  <si>
    <t>2024r</t>
  </si>
  <si>
    <t>2026 Otim</t>
  </si>
  <si>
    <t>2026 Base</t>
  </si>
  <si>
    <t>2026 Pess</t>
  </si>
  <si>
    <t>2027 Otim</t>
  </si>
  <si>
    <t>2027 Base</t>
  </si>
  <si>
    <t>2027 Pess</t>
  </si>
  <si>
    <t>COND 1 — Folha</t>
  </si>
  <si>
    <t>Folha ampliada ≤ 65% RL</t>
  </si>
  <si>
    <t xml:space="preserve">  Status</t>
  </si>
  <si>
    <t>COND 2 — EBITDA</t>
  </si>
  <si>
    <t>Margem EBITDA recor. ≥ +5%</t>
  </si>
  <si>
    <t>COND 3 — Capex</t>
  </si>
  <si>
    <t>Capex atletas ≤ Receita cessão (≤ 1,0x)</t>
  </si>
  <si>
    <t>COND 4 — Caixa</t>
  </si>
  <si>
    <t>Caixa final ≥ 1 mês de saídas op</t>
  </si>
  <si>
    <t>SÍNTESE — VEREDITO POR CENÁRIO/ANO</t>
  </si>
  <si>
    <t xml:space="preserve">  Condições atendidas (de 4)</t>
  </si>
  <si>
    <t xml:space="preserve">  Veredito</t>
  </si>
  <si>
    <t>(1) Critérios novos (mais rigorosos): C1 folha ≤ 65% RL; C2 margem EBITDA ≥ +5%; C3 capex atletas ≤ receita cessão; C4 caixa ≥ 1 mês de saídas operacionais.</t>
  </si>
  <si>
    <t>(2) Histórico 2024r e 2025 incluído para baseline. Em 2025, todas as 4 condições falham → COLAPSO confirmado.</t>
  </si>
  <si>
    <t>(3) Mesmo no cenário Otimista 2026-2027, a SAF não atinge "COMPETITIVO" — o melhor caso é "FRÁGIL".</t>
  </si>
  <si>
    <t>(4) C2 (EBITDA) usa proxy do Modelo Runway: Resultado op − receita cessão − custo cessão (mesma lógica de Operacional Puro).</t>
  </si>
  <si>
    <t>(5) C4 histórico calculado com saídas op = (folha + DGA + |dfin|)/12. Em 2025: 0,3 meses de cobertura.</t>
  </si>
  <si>
    <t>(6) Interpretação: em 8 testes (2 anos × 3 cenários + 2 anos históricos), apenas 1 caso atinge COMPETITIVO (Otim 2027), e por margem estreita (caixa 1,2 meses; folha 60% RL). Os outros 7 são COLAPSO ou FRÁGIL — confirmando que o equilíbrio operacional da SAF exige uma trajetória otimista sustentada por 2 anos consecutivos, sem aporte e sem deslizes esportivos.</t>
  </si>
  <si>
    <t>SUPORTE DO CONTROLADOR — PILARES E DESMONTE</t>
  </si>
  <si>
    <t>Os quatro canais paralelos de 2024 (R$ 1,2 BI) e o desmonte em 2025</t>
  </si>
  <si>
    <t>Mecanismo / Pilar</t>
  </si>
  <si>
    <t>PILAR 1 — APORTE DE CAPITAL FORMAL EAGLE</t>
  </si>
  <si>
    <t xml:space="preserve">  Integralização de capital no exercício</t>
  </si>
  <si>
    <t xml:space="preserve">  Saldo cumulativo do compromisso (R$ 350 MM)</t>
  </si>
  <si>
    <t xml:space="preserve">  Acordo cumprido?</t>
  </si>
  <si>
    <t>PILAR 2 — OPERAÇÃO OL SASU €56,4 MM (RECEITA DIFERIDA)</t>
  </si>
  <si>
    <t xml:space="preserve">  Receita diferida cessão definitiva — saldo final</t>
  </si>
  <si>
    <t xml:space="preserve">  Caixa antecipado pela operação (cumulativo)</t>
  </si>
  <si>
    <t xml:space="preserve">  Câmbio efetivo implícito (R$/€)</t>
  </si>
  <si>
    <t>PILAR 3 — QUITAÇÃO XP PELO TEXTOR PF + ATUALIZAÇÃO MONETÁRIA</t>
  </si>
  <si>
    <t xml:space="preserve">  Empréstimo XP (saldo a pagar)</t>
  </si>
  <si>
    <t xml:space="preserve">  Quitação Textor PF no ano (R$)</t>
  </si>
  <si>
    <t xml:space="preserve">  Atualização monetária reconhecida em receita financeira</t>
  </si>
  <si>
    <t>PILAR 4 — FINANCIAMENTO ESTRUTURADO COM GARANTIA SAF/OL</t>
  </si>
  <si>
    <t xml:space="preserve">  Saldo BTG/OL LTDA (em mora 15/12/2024)</t>
  </si>
  <si>
    <t xml:space="preserve">  Saldo Oliveira Trust (substitui BTG, garantia LFU)</t>
  </si>
  <si>
    <t xml:space="preserve">  Total dívida estruturada com garantia cruzada</t>
  </si>
  <si>
    <t>PILAR 5 — GARANTIAS OCULTAS LYON (revelado em 12/05/2026)</t>
  </si>
  <si>
    <t xml:space="preserve">  Garantia oculta OL SASU sob lei inglesa (€30 MM, abr/2025)</t>
  </si>
  <si>
    <t xml:space="preserve">  Crédito Lyon contra Botafogo (publicado 12/05/2026)</t>
  </si>
  <si>
    <t xml:space="preserve">  Taxa de antecipação cumulativa (R$)</t>
  </si>
  <si>
    <t>SOMA DE SUPORTE DO CONTROLADOR — VISÃO ANUAL</t>
  </si>
  <si>
    <t xml:space="preserve">  Aporte direto (pilar 1)</t>
  </si>
  <si>
    <t xml:space="preserve">  Caixa via receita diferida (pilar 2)</t>
  </si>
  <si>
    <t xml:space="preserve">  Quitação dívida bancária (pilar 3)</t>
  </si>
  <si>
    <t xml:space="preserve">  Saldo dívida estruturada criada no ano (pilar 4)</t>
  </si>
  <si>
    <t>TOTAL SUPORTE ESTRUTURADO NO ANO</t>
  </si>
  <si>
    <t>LEITURA RETROSPECTIVA — DESMONTE EM 2025</t>
  </si>
  <si>
    <t xml:space="preserve">  Pilar 1 (aporte): situação</t>
  </si>
  <si>
    <t>ZERADO — sem aporte em 2025</t>
  </si>
  <si>
    <t xml:space="preserve">  Pilar 2 (Lyon): situação</t>
  </si>
  <si>
    <t>PARCIALMENTE DESMONTADO — Lyon publicou contraclaim</t>
  </si>
  <si>
    <t xml:space="preserve">  Pilar 3 (XP/atualização): situação</t>
  </si>
  <si>
    <t>REVERTIDO — atualização virou despesa R$ 57 MM</t>
  </si>
  <si>
    <t xml:space="preserve">  Pilar 4 (estruturada): situação</t>
  </si>
  <si>
    <t>SUBSTITUÍDO — BTG/OL → Oliveira Trust/LFU</t>
  </si>
  <si>
    <t xml:space="preserve">  Pilar 5 (garantia oculta): situação</t>
  </si>
  <si>
    <t>EXPOSTO — garantia oculta abr/2025 revelada</t>
  </si>
  <si>
    <t>(1) Pilar 1: compromisso original era R$ 350 MM em 36 meses. Cumprido integralmente em 2024. Em 2025 não havia obrigação contratual residual.</t>
  </si>
  <si>
    <t>(2) Pilar 2: operação Lyon de €56,4 MM em 2024 virou €17,35 MM em 2025 (€9,75 MM Atlético Madrid + €7,6 MM Lyon residual). Câmbio implícito 2024: ~6,72 R$/€.</t>
  </si>
  <si>
    <t>(3) Pilar 3: quitação XP de R$ 547 MM em 2024 + R$ 54,7 MM em atualização monetária = neutralização contábil. Em 2025, atualização virou DESPESA de R$ 57 MM.</t>
  </si>
  <si>
    <t>(4) Pilar 4: arquitetura idêntica em 3 anos consecutivos (XP/Textor → BTG/OL LTDA → Oliveira Trust/LFU). Substituição do canal de financiamento estruturado.</t>
  </si>
  <si>
    <t>(5) Pilar 5: garantia oculta de €30 MM (~R$ 186 MM) firmada em abr/2025 sob lei inglesa, com OL SASU como garantidor não-aprovado pelo conselho. Revelado em 12/05/2026.</t>
  </si>
  <si>
    <t>(6) Soma total 2024 dos 4 pilares: ~R$ 1,2 BI — base da tese central. Em 2025, soma direta cai dramaticamente, apesar do saldo Oliveira Trust permanecer.</t>
  </si>
  <si>
    <t>GARANTIAS CRUZADAS, FACTORING E ANTECIPAÇÃO DE RECEBÍVEIS</t>
  </si>
  <si>
    <t>O 5º pilar do suporte ao controlador — operações de risco compartilhado</t>
  </si>
  <si>
    <t>Operação</t>
  </si>
  <si>
    <t>Período</t>
  </si>
  <si>
    <t>Estrutura</t>
  </si>
  <si>
    <t>Valor R$ mil</t>
  </si>
  <si>
    <t>Status / Observação</t>
  </si>
  <si>
    <t>CANAL ESTRUTURADO COM GARANTIA SAF</t>
  </si>
  <si>
    <t>Empréstimo XP / cessão Textor PF</t>
  </si>
  <si>
    <t>jul/2023</t>
  </si>
  <si>
    <t>Cessão fiduciária recebíveis SAF</t>
  </si>
  <si>
    <t>Quitado em 2024 por Textor PF</t>
  </si>
  <si>
    <t>Quitação XP — pagamento Textor PF</t>
  </si>
  <si>
    <t>Liquidação + atualização monetária</t>
  </si>
  <si>
    <t>R$ 54,7 MM de atualização contábil</t>
  </si>
  <si>
    <t>Notas Comerciais BTG / OL LTDA</t>
  </si>
  <si>
    <t>fev/2024</t>
  </si>
  <si>
    <t>Garantia real + cessão fiduciária SAF</t>
  </si>
  <si>
    <t>Renegociado até dez/2024</t>
  </si>
  <si>
    <t>Saldo BTG em mora (15/12/2024)</t>
  </si>
  <si>
    <t>31/12/2024</t>
  </si>
  <si>
    <t>Inadimplência objetiva</t>
  </si>
  <si>
    <t>Refinanciado via Oliveira Trust em 2025</t>
  </si>
  <si>
    <t>Oliveira Trust</t>
  </si>
  <si>
    <t>Cessão fiduciária recebíveis LFU</t>
  </si>
  <si>
    <t>Vencimento 27/03/2028 — saldo em 31/12/2025</t>
  </si>
  <si>
    <t>GARANTIAS OCULTAS LYON (REVELADAS 12/05/2026)</t>
  </si>
  <si>
    <t>Garantia oculta OL SASU (lei inglesa)</t>
  </si>
  <si>
    <t>abr/2025</t>
  </si>
  <si>
    <t>OL SASU como garantidor não-aprovado</t>
  </si>
  <si>
    <t>€30 MM — conselho do Lyon não aprovou</t>
  </si>
  <si>
    <t>Factoring / cessão de recebíveis</t>
  </si>
  <si>
    <t>2024-2025</t>
  </si>
  <si>
    <t>Garantias cruzadas Eagle (não-divulgadas)</t>
  </si>
  <si>
    <t>Magnitude exata desconhecida — Lyon questiona</t>
  </si>
  <si>
    <t>CUSTO FINANCEIRO DESSAS OPERAÇÕES (taxa de antecipação)</t>
  </si>
  <si>
    <t>Taxa de antecipação 2023</t>
  </si>
  <si>
    <t>DRE - despesa financeira</t>
  </si>
  <si>
    <t>Linha embrionária</t>
  </si>
  <si>
    <t>Taxa de antecipação 2024</t>
  </si>
  <si>
    <t>Salto de 22x</t>
  </si>
  <si>
    <t>Taxa de antecipação 2025</t>
  </si>
  <si>
    <t>Mantida alta — 25% da receita líquida</t>
  </si>
  <si>
    <t>Acumulado 2023-2025</t>
  </si>
  <si>
    <t>Custo financeiro total</t>
  </si>
  <si>
    <t>CROSS-CLAIMS ENTRE SAF E LYON</t>
  </si>
  <si>
    <t>SAF reivindica do Lyon (execução €104 MM)</t>
  </si>
  <si>
    <t>03/04/2026</t>
  </si>
  <si>
    <t>Ação execução título extrajudicial</t>
  </si>
  <si>
    <t>€104 MM × R$ 5,80/€</t>
  </si>
  <si>
    <t>Partes relacionadas ativo no balanço SAF</t>
  </si>
  <si>
    <t>31/12/2025</t>
  </si>
  <si>
    <t>Linha 7 do balanço</t>
  </si>
  <si>
    <t>Não-provisionado para impairment</t>
  </si>
  <si>
    <t>Lyon reivindica do Botafogo (balanço 12/05/2026)</t>
  </si>
  <si>
    <t>12/05/2026</t>
  </si>
  <si>
    <t>Crédito Lyon contra SAF</t>
  </si>
  <si>
    <t>Auditor cita R$ 732 MM (~mesmo valor)</t>
  </si>
  <si>
    <t>Diferença líquida — Lyon ganha</t>
  </si>
  <si>
    <t>Se Lyon vencer integralmente</t>
  </si>
  <si>
    <t>(1) Padrão arquitetural recorrente: SAF (ou entidade do grupo) toma empréstimo com garantia em recebíveis estratégicos do clube. Repetido 3x em 3 anos.</t>
  </si>
  <si>
    <t>(2) Taxa de antecipação acumulada de R$ 277 MM em 3 anos = 48% da receita líquida de 2025 em custos financeiros de operações de factoring/antecipação.</t>
  </si>
  <si>
    <t>(3) O auditor cita R$ 732.211 mil em "partes relacionadas passivo" no parecer — valor praticamente idêntico ao crédito que o Lyon publicou em 12/05/2026.</t>
  </si>
  <si>
    <t>(4) Magnitude exata das garantias cruzadas factoring é desconhecida — Lyon questiona "operações que nunca chegaram a se concretizar" mas serviram de lastro.</t>
  </si>
  <si>
    <t>CENÁRIOS DE AJUSTE PATRIMONIAL — IMPAIRMENT + DISPUTA LYON</t>
  </si>
  <si>
    <t>Quatro cenários de ajuste vs o balanço reportado pela SAF, com 3 sub-cenários para a disputa Lyon</t>
  </si>
  <si>
    <t>PREMISSAS-CHAVE (editáveis em azul)</t>
  </si>
  <si>
    <t>PL reportado SAF 2025 (controladora)</t>
  </si>
  <si>
    <t>do balanço auditado 2025</t>
  </si>
  <si>
    <t>Partes relacionadas ATIVO — saldo total (CP+LP)</t>
  </si>
  <si>
    <t>sujeito a impairment</t>
  </si>
  <si>
    <t>Lyon reivindica do Botafogo (publicado 12/05/2026)</t>
  </si>
  <si>
    <t>crédito do Lyon contra SAF</t>
  </si>
  <si>
    <t>Ajuste FFU R$ 110.427 mil (parecer auditor)</t>
  </si>
  <si>
    <t>recompra LFU mal-classificada</t>
  </si>
  <si>
    <t>Risco PERSE contingente (R$ ainda não-mensurável)</t>
  </si>
  <si>
    <t>estimativa para sensibilidade</t>
  </si>
  <si>
    <t>% impairment partes relacionadas (cenário central)</t>
  </si>
  <si>
    <t>percentual aplicável</t>
  </si>
  <si>
    <t>Cenário</t>
  </si>
  <si>
    <t>Status quo</t>
  </si>
  <si>
    <t>C1: Impairment 100%</t>
  </si>
  <si>
    <t>C2: + FFU/PERSE</t>
  </si>
  <si>
    <t>C3: Lyon SAF ganha</t>
  </si>
  <si>
    <t>C3: Lyon — Acordo bilateral</t>
  </si>
  <si>
    <t>C3: Lyon — Lyon ganha</t>
  </si>
  <si>
    <t>PARTIDA — PL REPORTADO</t>
  </si>
  <si>
    <t xml:space="preserve">  PL reportado SAF 31/12/2025</t>
  </si>
  <si>
    <t>AJUSTES SOBRE ATIVOS</t>
  </si>
  <si>
    <t xml:space="preserve">  (-) Impairment partes relacionadas (sobre ativo)</t>
  </si>
  <si>
    <t xml:space="preserve">  (-) Ajuste FFU R$ 110 MM (transferência ativo→resultado)</t>
  </si>
  <si>
    <t xml:space="preserve">  Subtotal ajustes ativos</t>
  </si>
  <si>
    <t>AJUSTES SOBRE PASSIVOS (CONTRACLAIM LYON)</t>
  </si>
  <si>
    <t xml:space="preserve">  (-) Reconhecimento contraclaim Lyon — perda</t>
  </si>
  <si>
    <t xml:space="preserve">  (-) PERSE contingente</t>
  </si>
  <si>
    <t xml:space="preserve">  Subtotal ajustes passivos</t>
  </si>
  <si>
    <t>PL AJUSTADO POR CENÁRIO</t>
  </si>
  <si>
    <t xml:space="preserve">  PL ajustado</t>
  </si>
  <si>
    <t>DELTA vs PL REPORTADO</t>
  </si>
  <si>
    <t xml:space="preserve">  Δ R$</t>
  </si>
  <si>
    <t xml:space="preserve">  Δ múltiplo de Capital Social</t>
  </si>
  <si>
    <t xml:space="preserve">  Cobertura por Capital Social (R$ 375 MM)</t>
  </si>
  <si>
    <t>Cenários explicados:</t>
  </si>
  <si>
    <t>Status quo: PL como reportado pela SAF, sem ajustes. R$ (432) MM.</t>
  </si>
  <si>
    <t>C1 — Impairment 100% partes relacionadas: aplica provisão integral sobre R$ 564 MM (que o auditor diz ser necessária no parecer 2025).</t>
  </si>
  <si>
    <t>C2 — Adiciona ajuste FFU R$ 110 MM (parecer auditor #81) + PERSE contingente R$ 100 MM (estimativa para sensibilidade).</t>
  </si>
  <si>
    <t>C3 Lyon SAF ganha: SAF mantém crédito de R$ 564 MM integralmente; Lyon não é reconhecido. Cenário otimista para SAF.</t>
  </si>
  <si>
    <t>C3 Lyon — Acordo bilateral: ambos os lados escrevem 50% (impairment 50% partes relacionadas + 50% reconhecimento passivo Lyon). Cenário central.</t>
  </si>
  <si>
    <t>C3 Lyon ganha: SAF perde crédito (impairment 100%) e reconhece passivo Lyon integral (R$ 727 MM). Cenário pessimista.</t>
  </si>
  <si>
    <t>Resumo: o PL ajustado oscila entre R$ (550) MM (cenário otimista C3-SAF) e R$ (1.834) MM (cenário pessimista C3-Lyon).</t>
  </si>
  <si>
    <t>2º post da série RJ — Substack Vinicius Borges</t>
  </si>
  <si>
    <t>A SAF Botafogo 2022-2024 foi sustentada por 5 pilares paralelos do controlador totalizando R$ 1,2 BI em 2024. Em 2025, todos os pilares zeraram/colapsaram simultaneamente. EBITDA recorrente puro nunca foi positivo em 4 anos. RJ protocolada 22/04/2026; disclaimer of opinion BDO 08/05/2026; cross-claim Lyon R$ 727 MM publicado 12/05/2026.</t>
  </si>
  <si>
    <t>(2) Cenário Otimista assume Libertadores 2026 boa, RJ avança limpa, cessão massiva (R$ 700 MM, vende 2 estrelas). Sem possibilidade.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</si>
</sst>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-"/>
    <numFmt numFmtId="165" formatCode="0.0%;\(0.0%\);\-"/>
    <numFmt numFmtId="166" formatCode="0.00\x"/>
    <numFmt numFmtId="167" formatCode="0.0&quot; meses&quot;"/>
  </numFmts>
  <fonts count="19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sz val="10"/>
      <color rgb="FF008000"/>
      <name val="Arial"/>
      <charset val="1"/>
    </font>
    <font>
      <b/>
      <sz val="12"/>
      <name val="Arial"/>
      <charset val="1"/>
    </font>
    <font>
      <b/>
      <sz val="10"/>
      <color rgb="FFFFFFFF"/>
      <name val="Arial"/>
      <charset val="1"/>
    </font>
    <font>
      <sz val="11"/>
      <color theme="1"/>
      <name val="Arial"/>
      <charset val="1"/>
    </font>
    <font>
      <b/>
      <sz val="11"/>
      <name val="Arial"/>
      <charset val="1"/>
    </font>
    <font>
      <b/>
      <i/>
      <sz val="10"/>
      <name val="Arial"/>
      <charset val="1"/>
    </font>
    <font>
      <b/>
      <sz val="11"/>
      <color rgb="FFFFFFFF"/>
      <name val="Arial"/>
      <charset val="1"/>
    </font>
    <font>
      <i/>
      <sz val="9"/>
      <name val="Arial"/>
      <charset val="1"/>
    </font>
    <font>
      <b/>
      <sz val="9"/>
      <name val="Arial"/>
      <charset val="1"/>
    </font>
    <font>
      <b/>
      <sz val="14"/>
      <color rgb="FFFFFFFF"/>
      <name val="Arial"/>
      <charset val="1"/>
    </font>
    <font>
      <b/>
      <i/>
      <sz val="11"/>
      <color rgb="FF000000"/>
      <name val="Arial"/>
      <charset val="1"/>
    </font>
    <font>
      <b/>
      <sz val="10"/>
      <color rgb="FF000000"/>
      <name val="Arial"/>
      <charset val="1"/>
    </font>
    <font>
      <i/>
      <sz val="9"/>
      <color rgb="FF595959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9E1F2"/>
      </patternFill>
    </fill>
    <fill>
      <patternFill patternType="solid">
        <fgColor rgb="FF1F4E79"/>
        <bgColor rgb="FF1F3864"/>
      </patternFill>
    </fill>
    <fill>
      <patternFill patternType="solid">
        <fgColor rgb="FF1F3864"/>
        <bgColor rgb="FF1F4E79"/>
      </patternFill>
    </fill>
    <fill>
      <patternFill patternType="solid">
        <fgColor rgb="FF8FAADC"/>
        <bgColor rgb="FF96969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F8CBAD"/>
        <bgColor rgb="FFFCE4D6"/>
      </patternFill>
    </fill>
    <fill>
      <patternFill patternType="solid">
        <fgColor rgb="FFD9E1F2"/>
        <bgColor rgb="FFD9D9D9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2" borderId="0" xfId="0" applyFill="1"/>
    <xf numFmtId="0" fontId="0" fillId="3" borderId="0" xfId="0" applyFill="1"/>
    <xf numFmtId="0" fontId="8" fillId="4" borderId="0" xfId="0" applyFont="1" applyFill="1" applyAlignment="1">
      <alignment horizontal="center"/>
    </xf>
    <xf numFmtId="0" fontId="9" fillId="0" borderId="0" xfId="0" applyFont="1"/>
    <xf numFmtId="0" fontId="3" fillId="3" borderId="0" xfId="0" applyFont="1" applyFill="1"/>
    <xf numFmtId="164" fontId="4" fillId="0" borderId="0" xfId="0" applyNumberFormat="1" applyFont="1"/>
    <xf numFmtId="164" fontId="3" fillId="3" borderId="0" xfId="0" applyNumberFormat="1" applyFont="1" applyFill="1"/>
    <xf numFmtId="164" fontId="10" fillId="3" borderId="1" xfId="0" applyNumberFormat="1" applyFont="1" applyFill="1" applyBorder="1"/>
    <xf numFmtId="164" fontId="10" fillId="3" borderId="0" xfId="0" applyNumberFormat="1" applyFont="1" applyFill="1"/>
    <xf numFmtId="0" fontId="11" fillId="0" borderId="0" xfId="0" applyFont="1"/>
    <xf numFmtId="164" fontId="2" fillId="0" borderId="0" xfId="0" applyNumberFormat="1" applyFont="1"/>
    <xf numFmtId="164" fontId="0" fillId="0" borderId="0" xfId="0" applyNumberFormat="1"/>
    <xf numFmtId="0" fontId="10" fillId="3" borderId="0" xfId="0" applyFont="1" applyFill="1"/>
    <xf numFmtId="165" fontId="0" fillId="0" borderId="0" xfId="0" applyNumberFormat="1"/>
    <xf numFmtId="164" fontId="3" fillId="0" borderId="0" xfId="0" applyNumberFormat="1" applyFont="1"/>
    <xf numFmtId="164" fontId="6" fillId="0" borderId="0" xfId="0" applyNumberFormat="1" applyFont="1"/>
    <xf numFmtId="164" fontId="4" fillId="2" borderId="0" xfId="0" applyNumberFormat="1" applyFont="1" applyFill="1"/>
    <xf numFmtId="166" fontId="6" fillId="0" borderId="0" xfId="0" applyNumberFormat="1" applyFont="1"/>
    <xf numFmtId="165" fontId="6" fillId="0" borderId="0" xfId="0" applyNumberFormat="1" applyFont="1"/>
    <xf numFmtId="165" fontId="4" fillId="2" borderId="0" xfId="0" applyNumberFormat="1" applyFont="1" applyFill="1"/>
    <xf numFmtId="2" fontId="4" fillId="2" borderId="0" xfId="0" applyNumberFormat="1" applyFont="1" applyFill="1"/>
    <xf numFmtId="166" fontId="0" fillId="0" borderId="0" xfId="0" applyNumberFormat="1"/>
    <xf numFmtId="167" fontId="0" fillId="0" borderId="0" xfId="0" applyNumberFormat="1"/>
    <xf numFmtId="0" fontId="13" fillId="0" borderId="0" xfId="0" applyFont="1" applyAlignment="1">
      <alignment vertical="top" wrapText="1"/>
    </xf>
    <xf numFmtId="0" fontId="13" fillId="0" borderId="0" xfId="0" applyFont="1"/>
    <xf numFmtId="0" fontId="14" fillId="0" borderId="0" xfId="0" applyFont="1" applyAlignment="1">
      <alignment horizontal="center"/>
    </xf>
    <xf numFmtId="166" fontId="4" fillId="0" borderId="0" xfId="0" applyNumberFormat="1" applyFont="1"/>
    <xf numFmtId="167" fontId="4" fillId="0" borderId="0" xfId="0" applyNumberFormat="1" applyFont="1"/>
    <xf numFmtId="167" fontId="6" fillId="0" borderId="0" xfId="0" applyNumberFormat="1" applyFont="1"/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8" fillId="5" borderId="0" xfId="0" applyFont="1" applyFill="1" applyAlignment="1">
      <alignment horizontal="center" vertical="center" wrapText="1"/>
    </xf>
    <xf numFmtId="0" fontId="17" fillId="6" borderId="0" xfId="0" applyFont="1" applyFill="1" applyAlignment="1">
      <alignment horizontal="left" vertical="center"/>
    </xf>
    <xf numFmtId="0" fontId="0" fillId="6" borderId="0" xfId="0" applyFill="1"/>
    <xf numFmtId="0" fontId="0" fillId="0" borderId="0" xfId="0" applyAlignment="1">
      <alignment horizontal="left" vertical="center" indent="2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2" fontId="5" fillId="0" borderId="0" xfId="0" applyNumberFormat="1" applyFont="1"/>
    <xf numFmtId="164" fontId="17" fillId="0" borderId="0" xfId="0" applyNumberFormat="1" applyFont="1"/>
    <xf numFmtId="164" fontId="5" fillId="0" borderId="0" xfId="0" applyNumberFormat="1" applyFont="1"/>
    <xf numFmtId="164" fontId="17" fillId="6" borderId="0" xfId="0" applyNumberFormat="1" applyFont="1" applyFill="1"/>
    <xf numFmtId="0" fontId="17" fillId="7" borderId="0" xfId="0" applyFont="1" applyFill="1" applyAlignment="1">
      <alignment horizontal="left" vertical="center"/>
    </xf>
    <xf numFmtId="0" fontId="17" fillId="0" borderId="0" xfId="0" applyFont="1"/>
    <xf numFmtId="0" fontId="17" fillId="6" borderId="0" xfId="0" applyFont="1" applyFill="1"/>
    <xf numFmtId="164" fontId="4" fillId="6" borderId="0" xfId="0" applyNumberFormat="1" applyFont="1" applyFill="1"/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/>
    </xf>
    <xf numFmtId="164" fontId="17" fillId="7" borderId="0" xfId="0" applyNumberFormat="1" applyFont="1" applyFill="1"/>
    <xf numFmtId="0" fontId="5" fillId="0" borderId="0" xfId="0" applyFont="1" applyAlignment="1">
      <alignment horizontal="left" vertical="center" indent="1"/>
    </xf>
    <xf numFmtId="165" fontId="4" fillId="0" borderId="0" xfId="0" applyNumberFormat="1" applyFont="1"/>
    <xf numFmtId="0" fontId="17" fillId="8" borderId="0" xfId="0" applyFont="1" applyFill="1" applyAlignment="1">
      <alignment horizontal="center" vertical="center" wrapText="1"/>
    </xf>
    <xf numFmtId="0" fontId="17" fillId="9" borderId="0" xfId="0" applyFont="1" applyFill="1" applyAlignment="1">
      <alignment horizontal="center" vertical="center" wrapText="1"/>
    </xf>
    <xf numFmtId="0" fontId="17" fillId="10" borderId="0" xfId="0" applyFont="1" applyFill="1" applyAlignment="1">
      <alignment horizontal="center" vertical="center" wrapText="1"/>
    </xf>
    <xf numFmtId="0" fontId="17" fillId="11" borderId="0" xfId="0" applyFont="1" applyFill="1" applyAlignment="1">
      <alignment horizontal="left" vertical="center"/>
    </xf>
    <xf numFmtId="0" fontId="0" fillId="11" borderId="0" xfId="0" applyFill="1"/>
    <xf numFmtId="164" fontId="17" fillId="11" borderId="0" xfId="0" applyNumberFormat="1" applyFont="1" applyFill="1"/>
    <xf numFmtId="164" fontId="17" fillId="8" borderId="0" xfId="0" applyNumberFormat="1" applyFont="1" applyFill="1"/>
    <xf numFmtId="164" fontId="17" fillId="9" borderId="0" xfId="0" applyNumberFormat="1" applyFont="1" applyFill="1"/>
    <xf numFmtId="164" fontId="17" fillId="10" borderId="0" xfId="0" applyNumberFormat="1" applyFont="1" applyFill="1"/>
    <xf numFmtId="166" fontId="5" fillId="0" borderId="0" xfId="0" applyNumberFormat="1" applyFont="1"/>
    <xf numFmtId="165" fontId="5" fillId="0" borderId="0" xfId="0" applyNumberFormat="1" applyFont="1"/>
    <xf numFmtId="0" fontId="18" fillId="0" borderId="0" xfId="0" applyFont="1"/>
    <xf numFmtId="0" fontId="0" fillId="0" borderId="0" xfId="0"/>
    <xf numFmtId="0" fontId="15" fillId="5" borderId="0" xfId="0" applyFont="1" applyFill="1"/>
    <xf numFmtId="0" fontId="16" fillId="0" borderId="0" xfId="0" applyFont="1"/>
    <xf numFmtId="0" fontId="0" fillId="0" borderId="0" xfId="0" applyAlignment="1">
      <alignment vertical="top" wrapText="1"/>
    </xf>
    <xf numFmtId="0" fontId="7" fillId="0" borderId="0" xfId="0" applyFont="1"/>
    <xf numFmtId="0" fontId="9" fillId="0" borderId="0" xfId="0" applyFont="1" applyAlignment="1">
      <alignment vertical="top" wrapText="1"/>
    </xf>
    <xf numFmtId="0" fontId="2" fillId="0" borderId="0" xfId="0" applyFont="1"/>
    <xf numFmtId="0" fontId="12" fillId="4" borderId="0" xfId="0" applyFont="1" applyFill="1" applyAlignment="1">
      <alignment horizontal="center"/>
    </xf>
    <xf numFmtId="0" fontId="17" fillId="2" borderId="0" xfId="0" applyFont="1" applyFill="1"/>
    <xf numFmtId="0" fontId="1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52"/>
  <sheetViews>
    <sheetView topLeftCell="A37" zoomScaleNormal="100" workbookViewId="0">
      <selection activeCell="B7" sqref="B7:C7"/>
    </sheetView>
  </sheetViews>
  <sheetFormatPr defaultColWidth="8.7109375" defaultRowHeight="15" x14ac:dyDescent="0.25"/>
  <cols>
    <col min="1" max="1" width="3" customWidth="1"/>
    <col min="2" max="2" width="40" customWidth="1"/>
    <col min="3" max="3" width="70" customWidth="1"/>
  </cols>
  <sheetData>
    <row r="2" spans="2:3" ht="17.25" customHeight="1" x14ac:dyDescent="0.25">
      <c r="B2" s="1" t="s">
        <v>0</v>
      </c>
    </row>
    <row r="3" spans="2:3" ht="15" customHeight="1" x14ac:dyDescent="0.25">
      <c r="B3" s="2" t="s">
        <v>632</v>
      </c>
    </row>
    <row r="4" spans="2:3" ht="15" customHeight="1" x14ac:dyDescent="0.25">
      <c r="B4" s="2" t="s">
        <v>1</v>
      </c>
    </row>
    <row r="6" spans="2:3" ht="15" customHeight="1" x14ac:dyDescent="0.25">
      <c r="B6" s="3" t="s">
        <v>2</v>
      </c>
    </row>
    <row r="7" spans="2:3" ht="60" customHeight="1" x14ac:dyDescent="0.25">
      <c r="B7" s="73" t="s">
        <v>633</v>
      </c>
      <c r="C7" s="70"/>
    </row>
    <row r="9" spans="2:3" ht="15" customHeight="1" x14ac:dyDescent="0.25">
      <c r="B9" s="3" t="s">
        <v>3</v>
      </c>
    </row>
    <row r="10" spans="2:3" ht="15" customHeight="1" x14ac:dyDescent="0.25">
      <c r="B10" t="s">
        <v>4</v>
      </c>
      <c r="C10" t="s">
        <v>5</v>
      </c>
    </row>
    <row r="11" spans="2:3" ht="15" customHeight="1" x14ac:dyDescent="0.25">
      <c r="B11" t="s">
        <v>6</v>
      </c>
      <c r="C11" t="s">
        <v>7</v>
      </c>
    </row>
    <row r="12" spans="2:3" ht="15" customHeight="1" x14ac:dyDescent="0.25">
      <c r="B12" t="s">
        <v>8</v>
      </c>
      <c r="C12" t="s">
        <v>9</v>
      </c>
    </row>
    <row r="13" spans="2:3" ht="15" customHeight="1" x14ac:dyDescent="0.25">
      <c r="B13" t="s">
        <v>10</v>
      </c>
      <c r="C13" t="s">
        <v>11</v>
      </c>
    </row>
    <row r="15" spans="2:3" ht="15" customHeight="1" x14ac:dyDescent="0.25">
      <c r="B15" s="3" t="s">
        <v>12</v>
      </c>
    </row>
    <row r="16" spans="2:3" ht="15" customHeight="1" x14ac:dyDescent="0.25">
      <c r="B16" t="s">
        <v>13</v>
      </c>
      <c r="C16" t="s">
        <v>14</v>
      </c>
    </row>
    <row r="17" spans="2:3" ht="15" customHeight="1" x14ac:dyDescent="0.25">
      <c r="B17" t="s">
        <v>15</v>
      </c>
      <c r="C17" t="s">
        <v>16</v>
      </c>
    </row>
    <row r="18" spans="2:3" ht="15" customHeight="1" x14ac:dyDescent="0.25">
      <c r="B18" t="s">
        <v>17</v>
      </c>
      <c r="C18" t="s">
        <v>18</v>
      </c>
    </row>
    <row r="19" spans="2:3" ht="15" customHeight="1" x14ac:dyDescent="0.25">
      <c r="B19" t="s">
        <v>19</v>
      </c>
      <c r="C19" t="s">
        <v>20</v>
      </c>
    </row>
    <row r="21" spans="2:3" ht="15" customHeight="1" x14ac:dyDescent="0.25">
      <c r="B21" s="3" t="s">
        <v>21</v>
      </c>
    </row>
    <row r="22" spans="2:3" ht="15" customHeight="1" x14ac:dyDescent="0.25">
      <c r="B22" s="5" t="s">
        <v>22</v>
      </c>
      <c r="C22" t="s">
        <v>23</v>
      </c>
    </row>
    <row r="23" spans="2:3" ht="15" customHeight="1" x14ac:dyDescent="0.25">
      <c r="B23" s="6" t="s">
        <v>24</v>
      </c>
      <c r="C23" t="s">
        <v>25</v>
      </c>
    </row>
    <row r="24" spans="2:3" ht="15" customHeight="1" x14ac:dyDescent="0.25">
      <c r="B24" s="7" t="s">
        <v>26</v>
      </c>
      <c r="C24" t="s">
        <v>27</v>
      </c>
    </row>
    <row r="25" spans="2:3" ht="15" customHeight="1" x14ac:dyDescent="0.25">
      <c r="B25" s="8" t="s">
        <v>28</v>
      </c>
      <c r="C25" t="s">
        <v>29</v>
      </c>
    </row>
    <row r="26" spans="2:3" ht="15" customHeight="1" x14ac:dyDescent="0.25">
      <c r="B26" s="9" t="s">
        <v>30</v>
      </c>
      <c r="C26" t="s">
        <v>31</v>
      </c>
    </row>
    <row r="28" spans="2:3" ht="15" customHeight="1" x14ac:dyDescent="0.25">
      <c r="B28" s="3" t="s">
        <v>32</v>
      </c>
    </row>
    <row r="29" spans="2:3" ht="15" customHeight="1" x14ac:dyDescent="0.25">
      <c r="B29" t="s">
        <v>33</v>
      </c>
      <c r="C29" t="s">
        <v>34</v>
      </c>
    </row>
    <row r="30" spans="2:3" ht="15" customHeight="1" x14ac:dyDescent="0.25">
      <c r="B30" s="8" t="s">
        <v>35</v>
      </c>
      <c r="C30" t="s">
        <v>36</v>
      </c>
    </row>
    <row r="32" spans="2:3" ht="15" customHeight="1" x14ac:dyDescent="0.25">
      <c r="B32" s="3" t="s">
        <v>37</v>
      </c>
    </row>
    <row r="33" spans="2:3" ht="30" customHeight="1" x14ac:dyDescent="0.25">
      <c r="B33" s="73" t="s">
        <v>38</v>
      </c>
      <c r="C33" s="70"/>
    </row>
    <row r="34" spans="2:3" ht="30" customHeight="1" x14ac:dyDescent="0.25">
      <c r="B34" s="73" t="s">
        <v>39</v>
      </c>
      <c r="C34" s="70"/>
    </row>
    <row r="35" spans="2:3" ht="30" customHeight="1" x14ac:dyDescent="0.25">
      <c r="B35" s="73" t="s">
        <v>40</v>
      </c>
      <c r="C35" s="70"/>
    </row>
    <row r="36" spans="2:3" ht="30" customHeight="1" x14ac:dyDescent="0.25">
      <c r="B36" s="73" t="s">
        <v>41</v>
      </c>
      <c r="C36" s="70"/>
    </row>
    <row r="37" spans="2:3" ht="30" customHeight="1" x14ac:dyDescent="0.25">
      <c r="B37" s="73" t="s">
        <v>42</v>
      </c>
      <c r="C37" s="70"/>
    </row>
    <row r="38" spans="2:3" ht="30" customHeight="1" x14ac:dyDescent="0.25">
      <c r="B38" s="73" t="s">
        <v>43</v>
      </c>
      <c r="C38" s="70"/>
    </row>
    <row r="39" spans="2:3" ht="30" customHeight="1" x14ac:dyDescent="0.25">
      <c r="B39" s="73" t="s">
        <v>44</v>
      </c>
      <c r="C39" s="70"/>
    </row>
    <row r="41" spans="2:3" ht="15" customHeight="1" x14ac:dyDescent="0.25">
      <c r="B41" s="3" t="s">
        <v>45</v>
      </c>
    </row>
    <row r="42" spans="2:3" ht="15" customHeight="1" x14ac:dyDescent="0.25">
      <c r="B42" t="s">
        <v>46</v>
      </c>
      <c r="C42" t="s">
        <v>47</v>
      </c>
    </row>
    <row r="43" spans="2:3" ht="15" customHeight="1" x14ac:dyDescent="0.25">
      <c r="B43" t="s">
        <v>48</v>
      </c>
      <c r="C43" t="s">
        <v>49</v>
      </c>
    </row>
    <row r="44" spans="2:3" ht="15" customHeight="1" x14ac:dyDescent="0.25">
      <c r="B44" t="s">
        <v>50</v>
      </c>
      <c r="C44" t="s">
        <v>51</v>
      </c>
    </row>
    <row r="45" spans="2:3" ht="15" customHeight="1" x14ac:dyDescent="0.25">
      <c r="B45" t="s">
        <v>52</v>
      </c>
      <c r="C45" t="s">
        <v>53</v>
      </c>
    </row>
    <row r="46" spans="2:3" ht="15" customHeight="1" x14ac:dyDescent="0.25">
      <c r="B46" t="s">
        <v>54</v>
      </c>
      <c r="C46" t="s">
        <v>55</v>
      </c>
    </row>
    <row r="47" spans="2:3" ht="15" customHeight="1" x14ac:dyDescent="0.25">
      <c r="B47" t="s">
        <v>56</v>
      </c>
      <c r="C47" t="s">
        <v>57</v>
      </c>
    </row>
    <row r="48" spans="2:3" ht="15" customHeight="1" x14ac:dyDescent="0.25">
      <c r="B48" t="s">
        <v>58</v>
      </c>
      <c r="C48" t="s">
        <v>59</v>
      </c>
    </row>
    <row r="49" spans="2:3" ht="15" customHeight="1" x14ac:dyDescent="0.25">
      <c r="B49" t="s">
        <v>60</v>
      </c>
      <c r="C49" t="s">
        <v>61</v>
      </c>
    </row>
    <row r="50" spans="2:3" ht="15" customHeight="1" x14ac:dyDescent="0.25">
      <c r="B50" t="s">
        <v>62</v>
      </c>
      <c r="C50" t="s">
        <v>63</v>
      </c>
    </row>
    <row r="51" spans="2:3" ht="15" customHeight="1" x14ac:dyDescent="0.25">
      <c r="B51" t="s">
        <v>64</v>
      </c>
      <c r="C51" t="s">
        <v>65</v>
      </c>
    </row>
    <row r="52" spans="2:3" ht="15" customHeight="1" x14ac:dyDescent="0.25">
      <c r="B52" t="s">
        <v>66</v>
      </c>
      <c r="C52" t="s">
        <v>67</v>
      </c>
    </row>
  </sheetData>
  <mergeCells count="8">
    <mergeCell ref="B39:C39"/>
    <mergeCell ref="B38:C38"/>
    <mergeCell ref="B7:C7"/>
    <mergeCell ref="B33:C33"/>
    <mergeCell ref="B34:C34"/>
    <mergeCell ref="B37:C37"/>
    <mergeCell ref="B36:C36"/>
    <mergeCell ref="B35:C3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9"/>
  <sheetViews>
    <sheetView topLeftCell="A43" zoomScaleNormal="100" workbookViewId="0">
      <selection sqref="A1:F1"/>
    </sheetView>
  </sheetViews>
  <sheetFormatPr defaultColWidth="8.7109375" defaultRowHeight="15" x14ac:dyDescent="0.25"/>
  <cols>
    <col min="1" max="1" width="50" customWidth="1"/>
    <col min="2" max="6" width="16" customWidth="1"/>
  </cols>
  <sheetData>
    <row r="1" spans="1:6" ht="15" customHeight="1" x14ac:dyDescent="0.25">
      <c r="A1" s="74" t="s">
        <v>68</v>
      </c>
      <c r="B1" s="70"/>
      <c r="C1" s="70"/>
      <c r="D1" s="70"/>
      <c r="E1" s="70"/>
      <c r="F1" s="70"/>
    </row>
    <row r="2" spans="1:6" ht="15" customHeight="1" x14ac:dyDescent="0.25">
      <c r="A2" s="10" t="s">
        <v>69</v>
      </c>
      <c r="B2" s="10" t="s">
        <v>70</v>
      </c>
      <c r="C2" s="10" t="s">
        <v>71</v>
      </c>
      <c r="D2" s="10" t="s">
        <v>72</v>
      </c>
      <c r="E2" s="10" t="s">
        <v>73</v>
      </c>
      <c r="F2" s="10" t="s">
        <v>74</v>
      </c>
    </row>
    <row r="3" spans="1:6" ht="15" customHeight="1" x14ac:dyDescent="0.25">
      <c r="A3" s="11"/>
      <c r="B3" s="11"/>
      <c r="C3" s="11"/>
      <c r="D3" s="11"/>
      <c r="E3" s="11"/>
      <c r="F3" s="11"/>
    </row>
    <row r="4" spans="1:6" ht="15" customHeight="1" x14ac:dyDescent="0.25">
      <c r="A4" s="12" t="s">
        <v>75</v>
      </c>
      <c r="B4" s="11"/>
      <c r="C4" s="11"/>
      <c r="D4" s="11"/>
      <c r="E4" s="11"/>
      <c r="F4" s="11"/>
    </row>
    <row r="5" spans="1:6" ht="15" customHeight="1" x14ac:dyDescent="0.25">
      <c r="A5" s="12" t="s">
        <v>76</v>
      </c>
      <c r="B5" s="11"/>
      <c r="C5" s="11"/>
      <c r="D5" s="11"/>
      <c r="E5" s="11"/>
      <c r="F5" s="11"/>
    </row>
    <row r="6" spans="1:6" ht="15" customHeight="1" x14ac:dyDescent="0.25">
      <c r="A6" s="11" t="s">
        <v>77</v>
      </c>
      <c r="B6" s="13">
        <v>16057</v>
      </c>
      <c r="C6" s="13">
        <v>128951</v>
      </c>
      <c r="D6" s="13">
        <v>25557</v>
      </c>
      <c r="E6" s="11"/>
      <c r="F6" s="11"/>
    </row>
    <row r="7" spans="1:6" ht="15" customHeight="1" x14ac:dyDescent="0.25">
      <c r="A7" s="11" t="s">
        <v>78</v>
      </c>
      <c r="B7" s="13">
        <v>82645</v>
      </c>
      <c r="C7" s="13">
        <v>114907</v>
      </c>
      <c r="D7" s="13">
        <v>56066</v>
      </c>
      <c r="E7" s="11"/>
      <c r="F7" s="11"/>
    </row>
    <row r="8" spans="1:6" ht="15" customHeight="1" x14ac:dyDescent="0.25">
      <c r="A8" s="11" t="s">
        <v>79</v>
      </c>
      <c r="B8" s="13">
        <v>7016</v>
      </c>
      <c r="C8" s="13">
        <v>5293</v>
      </c>
      <c r="D8" s="13">
        <v>21915</v>
      </c>
      <c r="E8" s="11"/>
      <c r="F8" s="11"/>
    </row>
    <row r="9" spans="1:6" ht="15" customHeight="1" x14ac:dyDescent="0.25">
      <c r="A9" s="11" t="s">
        <v>80</v>
      </c>
      <c r="B9" s="13">
        <v>369606</v>
      </c>
      <c r="C9" s="13">
        <v>402125</v>
      </c>
      <c r="D9" s="13">
        <v>279519</v>
      </c>
      <c r="E9" s="11"/>
      <c r="F9" s="11"/>
    </row>
    <row r="10" spans="1:6" ht="15" customHeight="1" x14ac:dyDescent="0.25">
      <c r="A10" s="11" t="s">
        <v>81</v>
      </c>
      <c r="B10" s="13">
        <v>1488</v>
      </c>
      <c r="C10" s="13">
        <v>2544</v>
      </c>
      <c r="D10" s="13">
        <v>1597</v>
      </c>
      <c r="E10" s="11"/>
      <c r="F10" s="11"/>
    </row>
    <row r="11" spans="1:6" ht="15" customHeight="1" x14ac:dyDescent="0.25">
      <c r="A11" s="11" t="s">
        <v>82</v>
      </c>
      <c r="B11" s="13">
        <v>203</v>
      </c>
      <c r="C11" s="13">
        <v>426</v>
      </c>
      <c r="D11" s="13">
        <v>414</v>
      </c>
      <c r="E11" s="11"/>
      <c r="F11" s="11"/>
    </row>
    <row r="12" spans="1:6" ht="15" customHeight="1" x14ac:dyDescent="0.25">
      <c r="A12" s="11" t="s">
        <v>83</v>
      </c>
      <c r="B12" s="13">
        <v>3654</v>
      </c>
      <c r="C12" s="13">
        <v>6638</v>
      </c>
      <c r="D12" s="13">
        <v>16495</v>
      </c>
      <c r="E12" s="11"/>
      <c r="F12" s="11"/>
    </row>
    <row r="13" spans="1:6" ht="15" customHeight="1" x14ac:dyDescent="0.25">
      <c r="A13" s="12" t="s">
        <v>84</v>
      </c>
      <c r="B13" s="14">
        <f>SUM(B6:B12)</f>
        <v>480669</v>
      </c>
      <c r="C13" s="14">
        <f>SUM(C6:C12)</f>
        <v>660884</v>
      </c>
      <c r="D13" s="14">
        <f>SUM(D6:D12)</f>
        <v>401563</v>
      </c>
      <c r="E13" s="11"/>
      <c r="F13" s="11"/>
    </row>
    <row r="14" spans="1:6" ht="15" customHeight="1" x14ac:dyDescent="0.25">
      <c r="A14" s="12" t="s">
        <v>85</v>
      </c>
      <c r="B14" s="11"/>
      <c r="C14" s="11"/>
      <c r="D14" s="11"/>
      <c r="E14" s="11"/>
      <c r="F14" s="11"/>
    </row>
    <row r="15" spans="1:6" ht="15" customHeight="1" x14ac:dyDescent="0.25">
      <c r="A15" s="11" t="s">
        <v>86</v>
      </c>
      <c r="B15" s="13">
        <v>31835</v>
      </c>
      <c r="C15" s="13">
        <v>5837</v>
      </c>
      <c r="D15" s="13">
        <v>15734</v>
      </c>
      <c r="E15" s="11"/>
      <c r="F15" s="11"/>
    </row>
    <row r="16" spans="1:6" ht="15" customHeight="1" x14ac:dyDescent="0.25">
      <c r="A16" s="11" t="s">
        <v>87</v>
      </c>
      <c r="B16" s="13">
        <v>130188</v>
      </c>
      <c r="C16" s="13">
        <v>189742</v>
      </c>
      <c r="D16" s="13">
        <v>285164</v>
      </c>
      <c r="E16" s="11"/>
      <c r="F16" s="11"/>
    </row>
    <row r="17" spans="1:6" ht="15" customHeight="1" x14ac:dyDescent="0.25">
      <c r="A17" s="11" t="s">
        <v>88</v>
      </c>
      <c r="B17" s="13">
        <v>2015</v>
      </c>
      <c r="C17" s="13">
        <v>129</v>
      </c>
      <c r="D17" s="13">
        <v>5227</v>
      </c>
      <c r="E17" s="11"/>
      <c r="F17" s="11"/>
    </row>
    <row r="18" spans="1:6" ht="15" customHeight="1" x14ac:dyDescent="0.25">
      <c r="A18" s="11" t="s">
        <v>89</v>
      </c>
      <c r="B18" s="13">
        <v>0</v>
      </c>
      <c r="C18" s="13">
        <v>15439</v>
      </c>
      <c r="D18" s="13">
        <v>8895</v>
      </c>
      <c r="E18" s="11"/>
      <c r="F18" s="11"/>
    </row>
    <row r="19" spans="1:6" ht="15" customHeight="1" x14ac:dyDescent="0.25">
      <c r="A19" s="11" t="s">
        <v>90</v>
      </c>
      <c r="B19" s="13">
        <v>8313</v>
      </c>
      <c r="C19" s="13">
        <v>16843</v>
      </c>
      <c r="D19" s="13">
        <v>13750</v>
      </c>
      <c r="E19" s="11"/>
      <c r="F19" s="11"/>
    </row>
    <row r="20" spans="1:6" ht="15" customHeight="1" x14ac:dyDescent="0.25">
      <c r="A20" s="11" t="s">
        <v>91</v>
      </c>
      <c r="B20" s="13">
        <v>11025</v>
      </c>
      <c r="C20" s="13">
        <v>14244</v>
      </c>
      <c r="D20" s="13">
        <v>39862</v>
      </c>
      <c r="E20" s="11"/>
      <c r="F20" s="11"/>
    </row>
    <row r="21" spans="1:6" ht="15" customHeight="1" x14ac:dyDescent="0.25">
      <c r="A21" s="11" t="s">
        <v>92</v>
      </c>
      <c r="B21" s="13">
        <v>157543</v>
      </c>
      <c r="C21" s="13">
        <v>521602</v>
      </c>
      <c r="D21" s="13">
        <v>814239</v>
      </c>
      <c r="E21" s="11"/>
      <c r="F21" s="11"/>
    </row>
    <row r="22" spans="1:6" ht="15" customHeight="1" x14ac:dyDescent="0.25">
      <c r="A22" s="12" t="s">
        <v>93</v>
      </c>
      <c r="B22" s="14">
        <f>SUM(B15:B21)</f>
        <v>340919</v>
      </c>
      <c r="C22" s="14">
        <f>SUM(C15:C21)</f>
        <v>763836</v>
      </c>
      <c r="D22" s="14">
        <f>SUM(D15:D21)</f>
        <v>1182871</v>
      </c>
      <c r="E22" s="11"/>
      <c r="F22" s="11"/>
    </row>
    <row r="23" spans="1:6" ht="15" customHeight="1" x14ac:dyDescent="0.25">
      <c r="A23" s="12" t="s">
        <v>94</v>
      </c>
      <c r="B23" s="15">
        <f>B13+B22</f>
        <v>821588</v>
      </c>
      <c r="C23" s="15">
        <f>C13+C22</f>
        <v>1424720</v>
      </c>
      <c r="D23" s="15">
        <f>D13+D22</f>
        <v>1584434</v>
      </c>
      <c r="E23" s="11"/>
      <c r="F23" s="11"/>
    </row>
    <row r="24" spans="1:6" ht="15" customHeight="1" x14ac:dyDescent="0.25">
      <c r="A24" s="11"/>
      <c r="B24" s="11"/>
      <c r="C24" s="11"/>
      <c r="D24" s="11"/>
      <c r="E24" s="11"/>
      <c r="F24" s="11"/>
    </row>
    <row r="25" spans="1:6" ht="15" customHeight="1" x14ac:dyDescent="0.25">
      <c r="A25" s="12" t="s">
        <v>95</v>
      </c>
      <c r="B25" s="11"/>
      <c r="C25" s="11"/>
      <c r="D25" s="11"/>
      <c r="E25" s="11"/>
      <c r="F25" s="11"/>
    </row>
    <row r="26" spans="1:6" ht="15" customHeight="1" x14ac:dyDescent="0.25">
      <c r="A26" s="12" t="s">
        <v>96</v>
      </c>
      <c r="B26" s="11"/>
      <c r="C26" s="11"/>
      <c r="D26" s="11"/>
      <c r="E26" s="11"/>
      <c r="F26" s="11"/>
    </row>
    <row r="27" spans="1:6" ht="15" customHeight="1" x14ac:dyDescent="0.25">
      <c r="A27" s="11" t="s">
        <v>97</v>
      </c>
      <c r="B27" s="13">
        <v>153603</v>
      </c>
      <c r="C27" s="13">
        <v>479803</v>
      </c>
      <c r="D27" s="13">
        <v>880769</v>
      </c>
      <c r="E27" s="11"/>
      <c r="F27" s="11"/>
    </row>
    <row r="28" spans="1:6" ht="15" customHeight="1" x14ac:dyDescent="0.25">
      <c r="A28" s="11" t="s">
        <v>98</v>
      </c>
      <c r="B28" s="13">
        <v>377592</v>
      </c>
      <c r="C28" s="13">
        <v>48112</v>
      </c>
      <c r="D28" s="13">
        <v>88324</v>
      </c>
      <c r="E28" s="11"/>
      <c r="F28" s="11"/>
    </row>
    <row r="29" spans="1:6" ht="15" customHeight="1" x14ac:dyDescent="0.25">
      <c r="A29" s="11" t="s">
        <v>99</v>
      </c>
      <c r="B29" s="13">
        <v>24682</v>
      </c>
      <c r="C29" s="13">
        <v>78211</v>
      </c>
      <c r="D29" s="13">
        <v>31949</v>
      </c>
      <c r="E29" s="11"/>
      <c r="F29" s="11"/>
    </row>
    <row r="30" spans="1:6" ht="15" customHeight="1" x14ac:dyDescent="0.25">
      <c r="A30" s="11" t="s">
        <v>100</v>
      </c>
      <c r="B30" s="13">
        <v>51380</v>
      </c>
      <c r="C30" s="13">
        <v>97594</v>
      </c>
      <c r="D30" s="13">
        <v>199688</v>
      </c>
      <c r="E30" s="11"/>
      <c r="F30" s="11"/>
    </row>
    <row r="31" spans="1:6" ht="15" customHeight="1" x14ac:dyDescent="0.25">
      <c r="A31" s="11" t="s">
        <v>101</v>
      </c>
      <c r="B31" s="13">
        <v>36198</v>
      </c>
      <c r="C31" s="13">
        <v>80184</v>
      </c>
      <c r="D31" s="13">
        <v>5970</v>
      </c>
      <c r="E31" s="11"/>
      <c r="F31" s="11"/>
    </row>
    <row r="32" spans="1:6" ht="15" customHeight="1" x14ac:dyDescent="0.25">
      <c r="A32" s="11" t="s">
        <v>102</v>
      </c>
      <c r="B32" s="13">
        <v>2107</v>
      </c>
      <c r="C32" s="13">
        <v>4089</v>
      </c>
      <c r="D32" s="13">
        <v>5216</v>
      </c>
      <c r="E32" s="11"/>
      <c r="F32" s="11"/>
    </row>
    <row r="33" spans="1:6" ht="15" customHeight="1" x14ac:dyDescent="0.25">
      <c r="A33" s="11" t="s">
        <v>103</v>
      </c>
      <c r="B33" s="13">
        <v>51090</v>
      </c>
      <c r="C33" s="13">
        <v>421939</v>
      </c>
      <c r="D33" s="13">
        <v>140829</v>
      </c>
      <c r="E33" s="11"/>
      <c r="F33" s="11"/>
    </row>
    <row r="34" spans="1:6" ht="15" customHeight="1" x14ac:dyDescent="0.25">
      <c r="A34" s="11" t="s">
        <v>104</v>
      </c>
      <c r="B34" s="13">
        <v>0</v>
      </c>
      <c r="C34" s="13">
        <v>0</v>
      </c>
      <c r="D34" s="13">
        <v>850</v>
      </c>
      <c r="E34" s="11"/>
      <c r="F34" s="11"/>
    </row>
    <row r="35" spans="1:6" ht="15" customHeight="1" x14ac:dyDescent="0.25">
      <c r="A35" s="12" t="s">
        <v>105</v>
      </c>
      <c r="B35" s="14">
        <f>SUM(B27:B34)</f>
        <v>696652</v>
      </c>
      <c r="C35" s="14">
        <f>SUM(C27:C34)</f>
        <v>1209932</v>
      </c>
      <c r="D35" s="14">
        <f>SUM(D27:D34)</f>
        <v>1353595</v>
      </c>
      <c r="E35" s="11"/>
      <c r="F35" s="11"/>
    </row>
    <row r="36" spans="1:6" ht="15" customHeight="1" x14ac:dyDescent="0.25">
      <c r="A36" s="12" t="s">
        <v>106</v>
      </c>
      <c r="B36" s="11"/>
      <c r="C36" s="11"/>
      <c r="D36" s="11"/>
      <c r="E36" s="11"/>
      <c r="F36" s="11"/>
    </row>
    <row r="37" spans="1:6" ht="15" customHeight="1" x14ac:dyDescent="0.25">
      <c r="A37" s="11" t="s">
        <v>107</v>
      </c>
      <c r="B37" s="13">
        <v>21613</v>
      </c>
      <c r="C37" s="13">
        <v>168164</v>
      </c>
      <c r="D37" s="13">
        <v>286800</v>
      </c>
      <c r="E37" s="11"/>
      <c r="F37" s="11"/>
    </row>
    <row r="38" spans="1:6" ht="15" customHeight="1" x14ac:dyDescent="0.25">
      <c r="A38" s="11" t="s">
        <v>108</v>
      </c>
      <c r="B38" s="13">
        <v>0</v>
      </c>
      <c r="C38" s="13">
        <v>0</v>
      </c>
      <c r="D38" s="13">
        <v>50648</v>
      </c>
      <c r="E38" s="11"/>
      <c r="F38" s="11"/>
    </row>
    <row r="39" spans="1:6" ht="15" customHeight="1" x14ac:dyDescent="0.25">
      <c r="A39" s="11" t="s">
        <v>109</v>
      </c>
      <c r="B39" s="13">
        <v>95687</v>
      </c>
      <c r="C39" s="13">
        <v>154438</v>
      </c>
      <c r="D39" s="13">
        <v>201118</v>
      </c>
      <c r="E39" s="11"/>
      <c r="F39" s="11"/>
    </row>
    <row r="40" spans="1:6" ht="15" customHeight="1" x14ac:dyDescent="0.25">
      <c r="A40" s="11" t="s">
        <v>110</v>
      </c>
      <c r="B40" s="13">
        <v>4251</v>
      </c>
      <c r="C40" s="13">
        <v>18340</v>
      </c>
      <c r="D40" s="13">
        <v>26741</v>
      </c>
      <c r="E40" s="11"/>
      <c r="F40" s="11"/>
    </row>
    <row r="41" spans="1:6" ht="15" customHeight="1" x14ac:dyDescent="0.25">
      <c r="A41" s="11" t="s">
        <v>111</v>
      </c>
      <c r="B41" s="13">
        <v>7186</v>
      </c>
      <c r="C41" s="13">
        <v>14864</v>
      </c>
      <c r="D41" s="13">
        <v>11258</v>
      </c>
      <c r="E41" s="11"/>
      <c r="F41" s="11"/>
    </row>
    <row r="42" spans="1:6" ht="15" customHeight="1" x14ac:dyDescent="0.25">
      <c r="A42" s="11" t="s">
        <v>112</v>
      </c>
      <c r="B42" s="13">
        <v>25000</v>
      </c>
      <c r="C42" s="13">
        <v>0</v>
      </c>
      <c r="D42" s="13">
        <v>86191</v>
      </c>
      <c r="E42" s="11"/>
      <c r="F42" s="11"/>
    </row>
    <row r="43" spans="1:6" ht="15" customHeight="1" x14ac:dyDescent="0.25">
      <c r="A43" s="12" t="s">
        <v>113</v>
      </c>
      <c r="B43" s="14">
        <f>SUM(B37:B42)</f>
        <v>153737</v>
      </c>
      <c r="C43" s="14">
        <f>SUM(C37:C42)</f>
        <v>355806</v>
      </c>
      <c r="D43" s="14">
        <f>SUM(D37:D42)</f>
        <v>662756</v>
      </c>
      <c r="E43" s="11"/>
      <c r="F43" s="11"/>
    </row>
    <row r="44" spans="1:6" ht="15" customHeight="1" x14ac:dyDescent="0.25">
      <c r="A44" s="12" t="s">
        <v>114</v>
      </c>
      <c r="B44" s="15">
        <f>B35+B43</f>
        <v>850389</v>
      </c>
      <c r="C44" s="15">
        <f>C35+C43</f>
        <v>1565738</v>
      </c>
      <c r="D44" s="15">
        <f>D35+D43</f>
        <v>2016351</v>
      </c>
      <c r="E44" s="11"/>
      <c r="F44" s="11"/>
    </row>
    <row r="45" spans="1:6" ht="15" customHeight="1" x14ac:dyDescent="0.25">
      <c r="A45" s="11"/>
      <c r="B45" s="11"/>
      <c r="C45" s="11"/>
      <c r="D45" s="11"/>
      <c r="E45" s="11"/>
      <c r="F45" s="11"/>
    </row>
    <row r="46" spans="1:6" ht="15" customHeight="1" x14ac:dyDescent="0.25">
      <c r="A46" s="12" t="s">
        <v>115</v>
      </c>
      <c r="B46" s="11"/>
      <c r="C46" s="11"/>
      <c r="D46" s="11"/>
      <c r="E46" s="11"/>
      <c r="F46" s="11"/>
    </row>
    <row r="47" spans="1:6" ht="15" customHeight="1" x14ac:dyDescent="0.25">
      <c r="A47" s="11" t="s">
        <v>116</v>
      </c>
      <c r="B47" s="13">
        <v>209143</v>
      </c>
      <c r="C47" s="13">
        <v>375309</v>
      </c>
      <c r="D47" s="13">
        <v>375309</v>
      </c>
      <c r="E47" s="11"/>
      <c r="F47" s="11"/>
    </row>
    <row r="48" spans="1:6" ht="15" customHeight="1" x14ac:dyDescent="0.25">
      <c r="A48" s="11" t="s">
        <v>117</v>
      </c>
      <c r="B48" s="13">
        <v>-181907</v>
      </c>
      <c r="C48" s="13">
        <v>-249512</v>
      </c>
      <c r="D48" s="13">
        <v>-516328</v>
      </c>
      <c r="E48" s="11"/>
      <c r="F48" s="11"/>
    </row>
    <row r="49" spans="1:6" ht="15" customHeight="1" x14ac:dyDescent="0.25">
      <c r="A49" s="11" t="s">
        <v>118</v>
      </c>
      <c r="B49" s="13">
        <v>-56037</v>
      </c>
      <c r="C49" s="13">
        <v>-266817</v>
      </c>
      <c r="D49" s="13">
        <v>-290898</v>
      </c>
      <c r="E49" s="11"/>
      <c r="F49" s="11"/>
    </row>
    <row r="50" spans="1:6" ht="15" customHeight="1" x14ac:dyDescent="0.25">
      <c r="A50" s="12" t="s">
        <v>119</v>
      </c>
      <c r="B50" s="15">
        <f>SUM(B47:B49)</f>
        <v>-28801</v>
      </c>
      <c r="C50" s="15">
        <f>SUM(C47:C49)</f>
        <v>-141020</v>
      </c>
      <c r="D50" s="15">
        <f>SUM(D47:D49)</f>
        <v>-431917</v>
      </c>
      <c r="E50" s="11"/>
      <c r="F50" s="11"/>
    </row>
    <row r="51" spans="1:6" ht="15" customHeight="1" x14ac:dyDescent="0.25">
      <c r="A51" s="11"/>
      <c r="B51" s="11"/>
      <c r="C51" s="11"/>
      <c r="D51" s="11"/>
      <c r="E51" s="11"/>
      <c r="F51" s="11"/>
    </row>
    <row r="52" spans="1:6" ht="15" customHeight="1" x14ac:dyDescent="0.25">
      <c r="A52" s="3" t="s">
        <v>120</v>
      </c>
      <c r="B52" s="16">
        <f>B44+B50</f>
        <v>821588</v>
      </c>
      <c r="C52" s="16">
        <f>C44+C50</f>
        <v>1424718</v>
      </c>
      <c r="D52" s="16">
        <f>D44+D50</f>
        <v>1584434</v>
      </c>
      <c r="E52" s="11"/>
      <c r="F52" s="11"/>
    </row>
    <row r="53" spans="1:6" ht="15" customHeight="1" x14ac:dyDescent="0.25">
      <c r="A53" s="17" t="s">
        <v>121</v>
      </c>
      <c r="B53" s="18">
        <f>B23-B52</f>
        <v>0</v>
      </c>
      <c r="C53" s="18">
        <f>C23-C52</f>
        <v>2</v>
      </c>
      <c r="D53" s="18">
        <f>D23-D52</f>
        <v>0</v>
      </c>
      <c r="E53" s="11"/>
      <c r="F53" s="11"/>
    </row>
    <row r="54" spans="1:6" ht="15" customHeight="1" x14ac:dyDescent="0.25">
      <c r="A54" s="11"/>
      <c r="B54" s="11"/>
      <c r="C54" s="11"/>
      <c r="D54" s="11"/>
      <c r="E54" s="11"/>
      <c r="F54" s="11"/>
    </row>
    <row r="55" spans="1:6" ht="15" customHeight="1" x14ac:dyDescent="0.25">
      <c r="A55" s="3" t="s">
        <v>122</v>
      </c>
      <c r="B55" s="11"/>
      <c r="C55" s="11"/>
      <c r="D55" s="11"/>
      <c r="E55" s="11"/>
      <c r="F55" s="11"/>
    </row>
    <row r="56" spans="1:6" ht="15" customHeight="1" x14ac:dyDescent="0.25">
      <c r="A56" s="75" t="s">
        <v>123</v>
      </c>
      <c r="B56" s="70"/>
      <c r="C56" s="70"/>
      <c r="D56" s="70"/>
      <c r="E56" s="70"/>
      <c r="F56" s="70"/>
    </row>
    <row r="57" spans="1:6" ht="15" customHeight="1" x14ac:dyDescent="0.25">
      <c r="A57" s="75" t="s">
        <v>124</v>
      </c>
      <c r="B57" s="70"/>
      <c r="C57" s="70"/>
      <c r="D57" s="70"/>
      <c r="E57" s="70"/>
      <c r="F57" s="70"/>
    </row>
    <row r="58" spans="1:6" ht="26.25" customHeight="1" x14ac:dyDescent="0.25">
      <c r="A58" s="75" t="s">
        <v>125</v>
      </c>
      <c r="B58" s="70"/>
      <c r="C58" s="70"/>
      <c r="D58" s="70"/>
      <c r="E58" s="70"/>
      <c r="F58" s="70"/>
    </row>
    <row r="59" spans="1:6" ht="15" customHeight="1" x14ac:dyDescent="0.25">
      <c r="A59" s="75" t="s">
        <v>126</v>
      </c>
      <c r="B59" s="70"/>
      <c r="C59" s="70"/>
      <c r="D59" s="70"/>
      <c r="E59" s="70"/>
      <c r="F59" s="70"/>
    </row>
  </sheetData>
  <mergeCells count="5">
    <mergeCell ref="A1:F1"/>
    <mergeCell ref="A58:F58"/>
    <mergeCell ref="A56:F56"/>
    <mergeCell ref="A59:F59"/>
    <mergeCell ref="A57:F5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topLeftCell="A13" zoomScaleNormal="100" workbookViewId="0">
      <selection sqref="A1:E1"/>
    </sheetView>
  </sheetViews>
  <sheetFormatPr defaultColWidth="8.7109375" defaultRowHeight="15" x14ac:dyDescent="0.25"/>
  <cols>
    <col min="1" max="1" width="55" customWidth="1"/>
    <col min="2" max="5" width="16" customWidth="1"/>
  </cols>
  <sheetData>
    <row r="1" spans="1:5" ht="15" customHeight="1" x14ac:dyDescent="0.25">
      <c r="A1" s="74" t="s">
        <v>127</v>
      </c>
      <c r="B1" s="70"/>
      <c r="C1" s="70"/>
      <c r="D1" s="70"/>
      <c r="E1" s="70"/>
    </row>
    <row r="2" spans="1:5" ht="15" customHeight="1" x14ac:dyDescent="0.25">
      <c r="A2" s="10" t="s">
        <v>69</v>
      </c>
      <c r="B2" s="10" t="s">
        <v>70</v>
      </c>
      <c r="C2" s="10" t="s">
        <v>71</v>
      </c>
      <c r="D2" s="10" t="s">
        <v>72</v>
      </c>
      <c r="E2" s="10" t="s">
        <v>73</v>
      </c>
    </row>
    <row r="4" spans="1:5" ht="15" customHeight="1" x14ac:dyDescent="0.25">
      <c r="A4" t="s">
        <v>128</v>
      </c>
      <c r="B4" s="13">
        <v>312042</v>
      </c>
      <c r="C4" s="13">
        <v>607322</v>
      </c>
      <c r="D4" s="13">
        <v>655033</v>
      </c>
      <c r="E4" s="19">
        <f t="shared" ref="E4:E18" si="0">D4-C4</f>
        <v>47711</v>
      </c>
    </row>
    <row r="5" spans="1:5" ht="15" customHeight="1" x14ac:dyDescent="0.25">
      <c r="A5" t="s">
        <v>129</v>
      </c>
      <c r="B5" s="13">
        <v>-32845</v>
      </c>
      <c r="C5" s="13">
        <v>-55051</v>
      </c>
      <c r="D5" s="13">
        <v>-81027</v>
      </c>
      <c r="E5" s="19">
        <f t="shared" si="0"/>
        <v>-25976</v>
      </c>
    </row>
    <row r="6" spans="1:5" ht="15" customHeight="1" x14ac:dyDescent="0.25">
      <c r="A6" s="12" t="s">
        <v>130</v>
      </c>
      <c r="B6" s="14">
        <f>B4+B5</f>
        <v>279197</v>
      </c>
      <c r="C6" s="14">
        <f>C4+C5</f>
        <v>552271</v>
      </c>
      <c r="D6" s="14">
        <f>D4+D5</f>
        <v>574006</v>
      </c>
      <c r="E6" s="19">
        <f t="shared" si="0"/>
        <v>21735</v>
      </c>
    </row>
    <row r="7" spans="1:5" ht="15" customHeight="1" x14ac:dyDescent="0.25">
      <c r="A7" t="s">
        <v>131</v>
      </c>
      <c r="B7" s="13">
        <v>-374834</v>
      </c>
      <c r="C7" s="13">
        <v>-608584</v>
      </c>
      <c r="D7" s="13">
        <v>-675254</v>
      </c>
      <c r="E7" s="19">
        <f t="shared" si="0"/>
        <v>-66670</v>
      </c>
    </row>
    <row r="8" spans="1:5" ht="15" customHeight="1" x14ac:dyDescent="0.25">
      <c r="A8" s="12" t="s">
        <v>132</v>
      </c>
      <c r="B8" s="14">
        <f>B6+B7</f>
        <v>-95637</v>
      </c>
      <c r="C8" s="14">
        <f>C6+C7</f>
        <v>-56313</v>
      </c>
      <c r="D8" s="14">
        <f>D6+D7</f>
        <v>-101248</v>
      </c>
      <c r="E8" s="19">
        <f t="shared" si="0"/>
        <v>-44935</v>
      </c>
    </row>
    <row r="9" spans="1:5" ht="15" customHeight="1" x14ac:dyDescent="0.25">
      <c r="A9" t="s">
        <v>133</v>
      </c>
      <c r="B9" s="13">
        <v>-104410</v>
      </c>
      <c r="C9" s="13">
        <v>-145897</v>
      </c>
      <c r="D9" s="13">
        <v>-218212</v>
      </c>
      <c r="E9" s="19">
        <f t="shared" si="0"/>
        <v>-72315</v>
      </c>
    </row>
    <row r="10" spans="1:5" ht="15" customHeight="1" x14ac:dyDescent="0.25">
      <c r="A10" t="s">
        <v>134</v>
      </c>
      <c r="B10" s="13">
        <v>-310</v>
      </c>
      <c r="C10" s="13">
        <v>-623</v>
      </c>
      <c r="D10" s="13">
        <v>-498</v>
      </c>
      <c r="E10" s="19">
        <f t="shared" si="0"/>
        <v>125</v>
      </c>
    </row>
    <row r="11" spans="1:5" ht="15" customHeight="1" x14ac:dyDescent="0.25">
      <c r="A11" t="s">
        <v>135</v>
      </c>
      <c r="B11" s="13">
        <v>182048</v>
      </c>
      <c r="C11" s="13">
        <v>49223</v>
      </c>
      <c r="D11" s="13">
        <v>52436</v>
      </c>
      <c r="E11" s="19">
        <f t="shared" si="0"/>
        <v>3213</v>
      </c>
    </row>
    <row r="12" spans="1:5" ht="15" customHeight="1" x14ac:dyDescent="0.25">
      <c r="A12" t="s">
        <v>136</v>
      </c>
      <c r="B12" s="13">
        <v>0</v>
      </c>
      <c r="C12" s="13">
        <v>-6509</v>
      </c>
      <c r="D12" s="13">
        <v>-6544</v>
      </c>
      <c r="E12" s="19">
        <f t="shared" si="0"/>
        <v>-35</v>
      </c>
    </row>
    <row r="13" spans="1:5" ht="15" customHeight="1" x14ac:dyDescent="0.25">
      <c r="A13" s="12" t="s">
        <v>137</v>
      </c>
      <c r="B13" s="14">
        <f>B8+B9+B10+B11+B12</f>
        <v>-18309</v>
      </c>
      <c r="C13" s="14">
        <f>C8+C9+C10+C11+C12</f>
        <v>-160119</v>
      </c>
      <c r="D13" s="14">
        <f>D8+D9+D10+D11+D12</f>
        <v>-274066</v>
      </c>
      <c r="E13" s="19">
        <f t="shared" si="0"/>
        <v>-113947</v>
      </c>
    </row>
    <row r="14" spans="1:5" ht="15" customHeight="1" x14ac:dyDescent="0.25">
      <c r="A14" t="s">
        <v>138</v>
      </c>
      <c r="B14" s="13">
        <v>77000</v>
      </c>
      <c r="C14" s="13">
        <v>96356</v>
      </c>
      <c r="D14" s="13">
        <v>733361</v>
      </c>
      <c r="E14" s="19">
        <f t="shared" si="0"/>
        <v>637005</v>
      </c>
    </row>
    <row r="15" spans="1:5" ht="15" customHeight="1" x14ac:dyDescent="0.25">
      <c r="A15" t="s">
        <v>139</v>
      </c>
      <c r="B15" s="13">
        <v>-37222</v>
      </c>
      <c r="C15" s="13">
        <v>-45832</v>
      </c>
      <c r="D15" s="13">
        <v>-448843</v>
      </c>
      <c r="E15" s="19">
        <f t="shared" si="0"/>
        <v>-403011</v>
      </c>
    </row>
    <row r="16" spans="1:5" ht="15" customHeight="1" x14ac:dyDescent="0.25">
      <c r="A16" s="12" t="s">
        <v>140</v>
      </c>
      <c r="B16" s="14">
        <f>B13+B14+B15</f>
        <v>21469</v>
      </c>
      <c r="C16" s="14">
        <f>C13+C14+C15</f>
        <v>-109595</v>
      </c>
      <c r="D16" s="14">
        <f>D13+D14+D15</f>
        <v>10452</v>
      </c>
      <c r="E16" s="19">
        <f t="shared" si="0"/>
        <v>120047</v>
      </c>
    </row>
    <row r="17" spans="1:5" ht="15" customHeight="1" x14ac:dyDescent="0.25">
      <c r="A17" t="s">
        <v>141</v>
      </c>
      <c r="B17" s="13">
        <v>-77506</v>
      </c>
      <c r="C17" s="13">
        <v>-157222</v>
      </c>
      <c r="D17" s="13">
        <v>-301350</v>
      </c>
      <c r="E17" s="19">
        <f t="shared" si="0"/>
        <v>-144128</v>
      </c>
    </row>
    <row r="18" spans="1:5" ht="15" customHeight="1" x14ac:dyDescent="0.25">
      <c r="A18" s="20" t="s">
        <v>142</v>
      </c>
      <c r="B18" s="15">
        <f>B16+B17</f>
        <v>-56037</v>
      </c>
      <c r="C18" s="15">
        <f>C16+C17</f>
        <v>-266817</v>
      </c>
      <c r="D18" s="15">
        <f>D16+D17</f>
        <v>-290898</v>
      </c>
      <c r="E18" s="19">
        <f t="shared" si="0"/>
        <v>-24081</v>
      </c>
    </row>
    <row r="20" spans="1:5" ht="15" customHeight="1" x14ac:dyDescent="0.25">
      <c r="A20" s="12" t="s">
        <v>143</v>
      </c>
    </row>
    <row r="21" spans="1:5" ht="15" customHeight="1" x14ac:dyDescent="0.25">
      <c r="A21" t="s">
        <v>144</v>
      </c>
      <c r="B21" s="21">
        <f>IFERROR(B8/B6,"-")</f>
        <v>-0.34254307890127761</v>
      </c>
      <c r="C21" s="21">
        <f>IFERROR(C8/C6,"-")</f>
        <v>-0.10196624483269989</v>
      </c>
      <c r="D21" s="21">
        <f>IFERROR(D8/D6,"-")</f>
        <v>-0.17638840012125309</v>
      </c>
    </row>
    <row r="22" spans="1:5" ht="15" customHeight="1" x14ac:dyDescent="0.25">
      <c r="A22" t="s">
        <v>145</v>
      </c>
      <c r="B22" s="21">
        <f>IFERROR(B13/B6,"-")</f>
        <v>-6.5577352192179722E-2</v>
      </c>
      <c r="C22" s="21">
        <f>IFERROR(C13/C6,"-")</f>
        <v>-0.2899283141790896</v>
      </c>
      <c r="D22" s="21">
        <f>IFERROR(D13/D6,"-")</f>
        <v>-0.47746190806367877</v>
      </c>
    </row>
    <row r="23" spans="1:5" ht="15" customHeight="1" x14ac:dyDescent="0.25">
      <c r="A23" t="s">
        <v>146</v>
      </c>
      <c r="B23" s="21">
        <f>IFERROR(B18/B6,"-")</f>
        <v>-0.2007077439943839</v>
      </c>
      <c r="C23" s="21">
        <f>IFERROR(C18/C6,"-")</f>
        <v>-0.48312694311307314</v>
      </c>
      <c r="D23" s="21">
        <f>IFERROR(D18/D6,"-")</f>
        <v>-0.50678564335564436</v>
      </c>
    </row>
    <row r="24" spans="1:5" ht="15" customHeight="1" x14ac:dyDescent="0.25">
      <c r="A24" t="s">
        <v>147</v>
      </c>
      <c r="C24" s="21">
        <f>IFERROR(C6/B6-1,"-")</f>
        <v>0.97806924859507793</v>
      </c>
      <c r="D24" s="21">
        <f>IFERROR(D6/C6-1,"-")</f>
        <v>3.9355678643274716E-2</v>
      </c>
    </row>
    <row r="25" spans="1:5" ht="15" customHeight="1" x14ac:dyDescent="0.25">
      <c r="A25" t="s">
        <v>148</v>
      </c>
      <c r="B25" s="19">
        <f>B14+B15</f>
        <v>39778</v>
      </c>
      <c r="C25" s="19">
        <f>C14+C15</f>
        <v>50524</v>
      </c>
      <c r="D25" s="19">
        <f>D14+D15</f>
        <v>284518</v>
      </c>
    </row>
    <row r="27" spans="1:5" ht="15" customHeight="1" x14ac:dyDescent="0.25">
      <c r="A27" s="3" t="s">
        <v>122</v>
      </c>
    </row>
    <row r="28" spans="1:5" ht="27.75" customHeight="1" x14ac:dyDescent="0.25">
      <c r="A28" s="73" t="s">
        <v>149</v>
      </c>
      <c r="B28" s="70"/>
      <c r="C28" s="70"/>
      <c r="D28" s="70"/>
      <c r="E28" s="70"/>
    </row>
    <row r="29" spans="1:5" ht="15" customHeight="1" x14ac:dyDescent="0.25">
      <c r="A29" s="73" t="s">
        <v>150</v>
      </c>
      <c r="B29" s="70"/>
      <c r="C29" s="70"/>
      <c r="D29" s="70"/>
      <c r="E29" s="70"/>
    </row>
    <row r="30" spans="1:5" ht="15" customHeight="1" x14ac:dyDescent="0.25">
      <c r="A30" s="73" t="s">
        <v>151</v>
      </c>
      <c r="B30" s="70"/>
      <c r="C30" s="70"/>
      <c r="D30" s="70"/>
      <c r="E30" s="70"/>
    </row>
    <row r="31" spans="1:5" ht="15" customHeight="1" x14ac:dyDescent="0.25">
      <c r="A31" s="73" t="s">
        <v>152</v>
      </c>
      <c r="B31" s="70"/>
      <c r="C31" s="70"/>
      <c r="D31" s="70"/>
      <c r="E31" s="70"/>
    </row>
  </sheetData>
  <mergeCells count="5">
    <mergeCell ref="A30:E30"/>
    <mergeCell ref="A29:E29"/>
    <mergeCell ref="A28:E28"/>
    <mergeCell ref="A1:E1"/>
    <mergeCell ref="A31:E3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"/>
  <sheetViews>
    <sheetView topLeftCell="A34" zoomScaleNormal="100" workbookViewId="0">
      <selection sqref="A1:F1"/>
    </sheetView>
  </sheetViews>
  <sheetFormatPr defaultColWidth="8.7109375" defaultRowHeight="15" x14ac:dyDescent="0.25"/>
  <cols>
    <col min="1" max="1" width="55" customWidth="1"/>
    <col min="2" max="6" width="14" customWidth="1"/>
  </cols>
  <sheetData>
    <row r="1" spans="1:6" ht="15" customHeight="1" x14ac:dyDescent="0.25">
      <c r="A1" s="74" t="s">
        <v>153</v>
      </c>
      <c r="B1" s="70"/>
      <c r="C1" s="70"/>
      <c r="D1" s="70"/>
      <c r="E1" s="70"/>
      <c r="F1" s="70"/>
    </row>
    <row r="2" spans="1:6" ht="15" customHeight="1" x14ac:dyDescent="0.25">
      <c r="A2" s="10" t="s">
        <v>69</v>
      </c>
      <c r="B2" s="10" t="s">
        <v>154</v>
      </c>
      <c r="C2" s="10" t="s">
        <v>155</v>
      </c>
      <c r="D2" s="10" t="s">
        <v>156</v>
      </c>
      <c r="E2" s="10" t="s">
        <v>72</v>
      </c>
      <c r="F2" s="10" t="s">
        <v>157</v>
      </c>
    </row>
    <row r="4" spans="1:6" ht="15" customHeight="1" x14ac:dyDescent="0.25">
      <c r="A4" s="12" t="s">
        <v>158</v>
      </c>
    </row>
    <row r="5" spans="1:6" ht="15" customHeight="1" x14ac:dyDescent="0.25">
      <c r="A5" t="s">
        <v>159</v>
      </c>
      <c r="D5" s="13">
        <v>84982</v>
      </c>
      <c r="E5" s="13">
        <v>93175</v>
      </c>
      <c r="F5" s="19">
        <f>E5-D5</f>
        <v>8193</v>
      </c>
    </row>
    <row r="6" spans="1:6" ht="15" customHeight="1" x14ac:dyDescent="0.25">
      <c r="A6" t="s">
        <v>160</v>
      </c>
      <c r="D6" s="13">
        <v>16000</v>
      </c>
      <c r="E6" s="13">
        <v>18000</v>
      </c>
      <c r="F6" s="19">
        <f>E6-D6</f>
        <v>2000</v>
      </c>
    </row>
    <row r="7" spans="1:6" ht="15" customHeight="1" x14ac:dyDescent="0.25">
      <c r="A7" t="s">
        <v>161</v>
      </c>
      <c r="B7" s="13">
        <v>16000</v>
      </c>
      <c r="C7" s="13">
        <v>42000</v>
      </c>
      <c r="D7" s="13">
        <v>37500</v>
      </c>
      <c r="E7" s="13">
        <v>55000</v>
      </c>
      <c r="F7" s="19">
        <f>E7-D7</f>
        <v>17500</v>
      </c>
    </row>
    <row r="8" spans="1:6" ht="15" customHeight="1" x14ac:dyDescent="0.25">
      <c r="A8" t="s">
        <v>162</v>
      </c>
      <c r="D8" s="13">
        <v>18411</v>
      </c>
      <c r="E8" s="13">
        <v>37190</v>
      </c>
      <c r="F8" s="19">
        <f>E8-D8</f>
        <v>18779</v>
      </c>
    </row>
    <row r="9" spans="1:6" ht="15" customHeight="1" x14ac:dyDescent="0.25">
      <c r="A9" t="s">
        <v>163</v>
      </c>
      <c r="B9" s="13">
        <v>8000</v>
      </c>
      <c r="C9" s="13">
        <v>28000</v>
      </c>
      <c r="D9" s="13">
        <v>48620</v>
      </c>
      <c r="E9" s="13">
        <v>52013</v>
      </c>
      <c r="F9" s="19">
        <f>E9-D9</f>
        <v>3393</v>
      </c>
    </row>
    <row r="10" spans="1:6" ht="15" customHeight="1" x14ac:dyDescent="0.25">
      <c r="A10" t="s">
        <v>164</v>
      </c>
      <c r="B10" s="13">
        <v>0</v>
      </c>
      <c r="C10" s="13">
        <v>0</v>
      </c>
      <c r="D10" s="13">
        <v>0</v>
      </c>
      <c r="E10" s="13">
        <v>460</v>
      </c>
    </row>
    <row r="11" spans="1:6" ht="15" customHeight="1" x14ac:dyDescent="0.25">
      <c r="A11" t="s">
        <v>165</v>
      </c>
      <c r="D11" s="13">
        <v>3177</v>
      </c>
      <c r="E11" s="13">
        <v>3500</v>
      </c>
      <c r="F11" s="19">
        <f>E11-D11</f>
        <v>323</v>
      </c>
    </row>
    <row r="12" spans="1:6" ht="15" customHeight="1" x14ac:dyDescent="0.25">
      <c r="A12" t="s">
        <v>166</v>
      </c>
      <c r="B12" s="13">
        <v>2000</v>
      </c>
      <c r="C12" s="13">
        <v>24000</v>
      </c>
      <c r="D12" s="13">
        <v>66379</v>
      </c>
      <c r="E12" s="13">
        <v>60646</v>
      </c>
      <c r="F12" s="19">
        <f>E12-D12</f>
        <v>-5733</v>
      </c>
    </row>
    <row r="13" spans="1:6" ht="15" customHeight="1" x14ac:dyDescent="0.25">
      <c r="A13" t="s">
        <v>167</v>
      </c>
      <c r="D13" s="13">
        <v>24233</v>
      </c>
      <c r="E13" s="13">
        <v>23773</v>
      </c>
      <c r="F13" s="19">
        <f>E13-D13</f>
        <v>-460</v>
      </c>
    </row>
    <row r="14" spans="1:6" ht="15" customHeight="1" x14ac:dyDescent="0.25">
      <c r="A14" t="s">
        <v>168</v>
      </c>
      <c r="D14" s="13">
        <v>9798</v>
      </c>
      <c r="E14" s="13">
        <v>12096</v>
      </c>
      <c r="F14" s="19">
        <f>E14-D14</f>
        <v>2298</v>
      </c>
    </row>
    <row r="15" spans="1:6" ht="15" customHeight="1" x14ac:dyDescent="0.25">
      <c r="A15" s="12" t="s">
        <v>169</v>
      </c>
      <c r="B15" s="14">
        <f>SUM(B5:B14)</f>
        <v>26000</v>
      </c>
      <c r="C15" s="14">
        <f>SUM(C5:C14)</f>
        <v>94000</v>
      </c>
      <c r="D15" s="14">
        <f>SUM(D5:D14)</f>
        <v>309100</v>
      </c>
      <c r="E15" s="14">
        <f>SUM(E5:E14)</f>
        <v>355853</v>
      </c>
      <c r="F15" s="19">
        <f>E15-D15</f>
        <v>46753</v>
      </c>
    </row>
    <row r="17" spans="1:6" ht="15" customHeight="1" x14ac:dyDescent="0.25">
      <c r="A17" s="12" t="s">
        <v>170</v>
      </c>
    </row>
    <row r="18" spans="1:6" ht="15" customHeight="1" x14ac:dyDescent="0.25">
      <c r="A18" t="s">
        <v>171</v>
      </c>
      <c r="D18" s="13">
        <v>194334</v>
      </c>
      <c r="E18" s="13">
        <v>31302</v>
      </c>
      <c r="F18" s="19">
        <f>E18-D18</f>
        <v>-163032</v>
      </c>
    </row>
    <row r="19" spans="1:6" ht="15" customHeight="1" x14ac:dyDescent="0.25">
      <c r="A19" t="s">
        <v>172</v>
      </c>
      <c r="B19" s="13">
        <v>0</v>
      </c>
      <c r="C19" s="13">
        <v>0</v>
      </c>
      <c r="D19" s="13">
        <v>0</v>
      </c>
      <c r="E19" s="13">
        <v>147822</v>
      </c>
    </row>
    <row r="20" spans="1:6" ht="15" customHeight="1" x14ac:dyDescent="0.25">
      <c r="A20" t="s">
        <v>173</v>
      </c>
      <c r="D20" s="13">
        <v>9019</v>
      </c>
      <c r="E20" s="13">
        <v>0</v>
      </c>
    </row>
    <row r="21" spans="1:6" ht="15" customHeight="1" x14ac:dyDescent="0.25">
      <c r="A21" t="s">
        <v>174</v>
      </c>
      <c r="D21" s="13">
        <v>5670</v>
      </c>
      <c r="E21" s="13">
        <v>10694</v>
      </c>
      <c r="F21" s="19">
        <f>E21-D21</f>
        <v>5024</v>
      </c>
    </row>
    <row r="22" spans="1:6" ht="15" customHeight="1" x14ac:dyDescent="0.25">
      <c r="A22" t="s">
        <v>175</v>
      </c>
      <c r="D22" s="13">
        <v>48166</v>
      </c>
      <c r="E22" s="13">
        <v>67498</v>
      </c>
      <c r="F22" s="19">
        <f>E22-D22</f>
        <v>19332</v>
      </c>
    </row>
    <row r="23" spans="1:6" ht="15" customHeight="1" x14ac:dyDescent="0.25">
      <c r="A23" t="s">
        <v>176</v>
      </c>
      <c r="B23" s="13">
        <v>0</v>
      </c>
      <c r="C23" s="13">
        <v>0</v>
      </c>
      <c r="D23" s="13">
        <v>0</v>
      </c>
      <c r="E23" s="13">
        <v>6050</v>
      </c>
    </row>
    <row r="24" spans="1:6" ht="15" customHeight="1" x14ac:dyDescent="0.25">
      <c r="A24" t="s">
        <v>177</v>
      </c>
      <c r="B24" s="13">
        <v>0</v>
      </c>
      <c r="C24" s="13">
        <v>0</v>
      </c>
      <c r="D24" s="13">
        <v>0</v>
      </c>
      <c r="E24" s="13">
        <v>5241</v>
      </c>
    </row>
    <row r="25" spans="1:6" ht="15" customHeight="1" x14ac:dyDescent="0.25">
      <c r="A25" t="s">
        <v>178</v>
      </c>
      <c r="D25" s="13">
        <v>315</v>
      </c>
      <c r="E25" s="13">
        <v>483</v>
      </c>
      <c r="F25" s="19">
        <f>E25-D25</f>
        <v>168</v>
      </c>
    </row>
    <row r="26" spans="1:6" ht="15" customHeight="1" x14ac:dyDescent="0.25">
      <c r="A26" s="12" t="s">
        <v>179</v>
      </c>
      <c r="B26" s="14">
        <f>SUM(B18:B25)</f>
        <v>0</v>
      </c>
      <c r="C26" s="14">
        <f>SUM(C18:C25)</f>
        <v>0</v>
      </c>
      <c r="D26" s="14">
        <f>SUM(D18:D25)</f>
        <v>257504</v>
      </c>
      <c r="E26" s="14">
        <f>SUM(E18:E25)</f>
        <v>269090</v>
      </c>
      <c r="F26" s="19">
        <f>E26-D26</f>
        <v>11586</v>
      </c>
    </row>
    <row r="28" spans="1:6" ht="15" customHeight="1" x14ac:dyDescent="0.25">
      <c r="A28" s="12" t="s">
        <v>180</v>
      </c>
    </row>
    <row r="29" spans="1:6" ht="15" customHeight="1" x14ac:dyDescent="0.25">
      <c r="A29" t="s">
        <v>181</v>
      </c>
      <c r="D29" s="13">
        <v>36356</v>
      </c>
      <c r="E29" s="13">
        <v>17494</v>
      </c>
      <c r="F29" s="19">
        <f>E29-D29</f>
        <v>-18862</v>
      </c>
    </row>
    <row r="31" spans="1:6" ht="15" customHeight="1" x14ac:dyDescent="0.25">
      <c r="A31" s="12" t="s">
        <v>182</v>
      </c>
    </row>
    <row r="32" spans="1:6" ht="15" customHeight="1" x14ac:dyDescent="0.25">
      <c r="A32" t="s">
        <v>183</v>
      </c>
      <c r="D32" s="13">
        <v>4362</v>
      </c>
      <c r="E32" s="13">
        <v>12596</v>
      </c>
      <c r="F32" s="19">
        <f>E32-D32</f>
        <v>8234</v>
      </c>
    </row>
    <row r="33" spans="1:6" ht="15" customHeight="1" x14ac:dyDescent="0.25">
      <c r="A33" t="s">
        <v>184</v>
      </c>
      <c r="B33" s="13">
        <v>4000</v>
      </c>
      <c r="C33" s="13">
        <v>77000</v>
      </c>
      <c r="D33" s="13">
        <v>96356</v>
      </c>
      <c r="E33" s="13">
        <v>733361</v>
      </c>
      <c r="F33" s="19">
        <f>E33-D33</f>
        <v>637005</v>
      </c>
    </row>
    <row r="34" spans="1:6" ht="15" customHeight="1" x14ac:dyDescent="0.25">
      <c r="A34" s="12" t="s">
        <v>185</v>
      </c>
      <c r="B34" s="14">
        <f>B32+B33</f>
        <v>4000</v>
      </c>
      <c r="C34" s="14">
        <f>C32+C33</f>
        <v>77000</v>
      </c>
      <c r="D34" s="14">
        <f>D32+D33</f>
        <v>100718</v>
      </c>
      <c r="E34" s="14">
        <f>E32+E33</f>
        <v>745957</v>
      </c>
      <c r="F34" s="19">
        <f>E34-D34</f>
        <v>645239</v>
      </c>
    </row>
    <row r="36" spans="1:6" ht="15" customHeight="1" x14ac:dyDescent="0.25">
      <c r="A36" s="12" t="s">
        <v>186</v>
      </c>
    </row>
    <row r="37" spans="1:6" ht="15" customHeight="1" x14ac:dyDescent="0.25">
      <c r="A37" s="3" t="s">
        <v>187</v>
      </c>
      <c r="B37" s="22">
        <f>B15+B26+IFERROR(B29,0)+B32</f>
        <v>26000</v>
      </c>
      <c r="C37" s="22">
        <f>C15+C26+IFERROR(C29,0)+C32</f>
        <v>94000</v>
      </c>
      <c r="D37" s="22">
        <f>D15+D26+IFERROR(D29,0)+D32</f>
        <v>607322</v>
      </c>
      <c r="E37" s="22">
        <f>E15+E26+IFERROR(E29,0)+E32</f>
        <v>655033</v>
      </c>
      <c r="F37" s="19">
        <f>E37-D37</f>
        <v>47711</v>
      </c>
    </row>
    <row r="38" spans="1:6" ht="15" customHeight="1" x14ac:dyDescent="0.25">
      <c r="A38" s="3" t="s">
        <v>188</v>
      </c>
      <c r="B38" s="22">
        <f>B37+B33</f>
        <v>30000</v>
      </c>
      <c r="C38" s="22">
        <f>C37+C33</f>
        <v>171000</v>
      </c>
      <c r="D38" s="22">
        <f>D37+D33</f>
        <v>703678</v>
      </c>
      <c r="E38" s="22">
        <f>E37+E33</f>
        <v>1388394</v>
      </c>
      <c r="F38" s="19">
        <f>E38-D38</f>
        <v>684716</v>
      </c>
    </row>
    <row r="40" spans="1:6" ht="15" customHeight="1" x14ac:dyDescent="0.25">
      <c r="A40" s="12" t="s">
        <v>189</v>
      </c>
    </row>
    <row r="41" spans="1:6" ht="15" customHeight="1" x14ac:dyDescent="0.25">
      <c r="A41" t="s">
        <v>190</v>
      </c>
      <c r="E41" s="19">
        <f>E37-E19</f>
        <v>507211</v>
      </c>
    </row>
    <row r="42" spans="1:6" ht="15" customHeight="1" x14ac:dyDescent="0.25">
      <c r="A42" t="s">
        <v>191</v>
      </c>
      <c r="E42" s="19">
        <f>E37-E19-E18</f>
        <v>475909</v>
      </c>
    </row>
    <row r="43" spans="1:6" ht="15" customHeight="1" x14ac:dyDescent="0.25">
      <c r="A43" t="s">
        <v>192</v>
      </c>
      <c r="E43" s="19">
        <f>E15-D15</f>
        <v>46753</v>
      </c>
    </row>
    <row r="44" spans="1:6" ht="15" customHeight="1" x14ac:dyDescent="0.25">
      <c r="A44" t="s">
        <v>193</v>
      </c>
      <c r="E44" s="21">
        <f>IFERROR(E15/D15-1,"-")</f>
        <v>0.15125525719831767</v>
      </c>
    </row>
    <row r="46" spans="1:6" ht="15" customHeight="1" x14ac:dyDescent="0.25">
      <c r="A46" s="3" t="s">
        <v>122</v>
      </c>
    </row>
    <row r="47" spans="1:6" ht="15" customHeight="1" x14ac:dyDescent="0.25">
      <c r="A47" s="73" t="s">
        <v>194</v>
      </c>
      <c r="B47" s="70"/>
      <c r="C47" s="70"/>
      <c r="D47" s="70"/>
      <c r="E47" s="70"/>
      <c r="F47" s="70"/>
    </row>
    <row r="48" spans="1:6" ht="15" customHeight="1" x14ac:dyDescent="0.25">
      <c r="A48" s="73" t="s">
        <v>195</v>
      </c>
      <c r="B48" s="70"/>
      <c r="C48" s="70"/>
      <c r="D48" s="70"/>
      <c r="E48" s="70"/>
      <c r="F48" s="70"/>
    </row>
    <row r="49" spans="1:6" ht="15" customHeight="1" x14ac:dyDescent="0.25">
      <c r="A49" s="73" t="s">
        <v>196</v>
      </c>
      <c r="B49" s="70"/>
      <c r="C49" s="70"/>
      <c r="D49" s="70"/>
      <c r="E49" s="70"/>
      <c r="F49" s="70"/>
    </row>
    <row r="50" spans="1:6" ht="15" customHeight="1" x14ac:dyDescent="0.25">
      <c r="A50" s="73" t="s">
        <v>197</v>
      </c>
      <c r="B50" s="70"/>
      <c r="C50" s="70"/>
      <c r="D50" s="70"/>
      <c r="E50" s="70"/>
      <c r="F50" s="70"/>
    </row>
  </sheetData>
  <mergeCells count="5">
    <mergeCell ref="A49:F49"/>
    <mergeCell ref="A47:F47"/>
    <mergeCell ref="A1:F1"/>
    <mergeCell ref="A50:F50"/>
    <mergeCell ref="A48:F4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8"/>
  <sheetViews>
    <sheetView topLeftCell="A61" zoomScaleNormal="100" workbookViewId="0">
      <selection activeCell="E63" sqref="E63"/>
    </sheetView>
  </sheetViews>
  <sheetFormatPr defaultColWidth="8.7109375" defaultRowHeight="15" x14ac:dyDescent="0.25"/>
  <cols>
    <col min="1" max="1" width="55" customWidth="1"/>
    <col min="2" max="5" width="16" customWidth="1"/>
  </cols>
  <sheetData>
    <row r="1" spans="1:5" ht="15" customHeight="1" x14ac:dyDescent="0.25">
      <c r="A1" s="74" t="s">
        <v>198</v>
      </c>
      <c r="B1" s="70"/>
      <c r="C1" s="70"/>
      <c r="D1" s="70"/>
      <c r="E1" s="70"/>
    </row>
    <row r="2" spans="1:5" ht="15" customHeight="1" x14ac:dyDescent="0.25">
      <c r="A2" s="10" t="s">
        <v>69</v>
      </c>
      <c r="B2" s="10" t="s">
        <v>70</v>
      </c>
      <c r="C2" s="10" t="s">
        <v>71</v>
      </c>
      <c r="D2" s="10" t="s">
        <v>72</v>
      </c>
      <c r="E2" s="10" t="s">
        <v>73</v>
      </c>
    </row>
    <row r="4" spans="1:5" ht="15" customHeight="1" x14ac:dyDescent="0.25">
      <c r="A4" s="12" t="s">
        <v>199</v>
      </c>
    </row>
    <row r="5" spans="1:5" ht="15" customHeight="1" x14ac:dyDescent="0.25">
      <c r="A5" t="s">
        <v>200</v>
      </c>
      <c r="B5" s="13">
        <v>-56037</v>
      </c>
      <c r="C5" s="13">
        <v>-266817</v>
      </c>
      <c r="D5" s="13">
        <v>-290898</v>
      </c>
      <c r="E5" s="19">
        <f t="shared" ref="E5:E15" si="0">D5-C5</f>
        <v>-24081</v>
      </c>
    </row>
    <row r="6" spans="1:5" ht="15" customHeight="1" x14ac:dyDescent="0.25">
      <c r="A6" t="s">
        <v>201</v>
      </c>
      <c r="B6" s="13">
        <v>66381</v>
      </c>
      <c r="C6" s="13">
        <v>-11568</v>
      </c>
      <c r="D6" s="13">
        <v>1</v>
      </c>
      <c r="E6" s="19">
        <f t="shared" si="0"/>
        <v>11569</v>
      </c>
    </row>
    <row r="7" spans="1:5" ht="15" customHeight="1" x14ac:dyDescent="0.25">
      <c r="A7" t="s">
        <v>202</v>
      </c>
      <c r="B7" s="13">
        <v>92574</v>
      </c>
      <c r="C7" s="13">
        <v>132676</v>
      </c>
      <c r="D7" s="13">
        <v>242815</v>
      </c>
      <c r="E7" s="19">
        <f t="shared" si="0"/>
        <v>110139</v>
      </c>
    </row>
    <row r="8" spans="1:5" ht="15" customHeight="1" x14ac:dyDescent="0.25">
      <c r="A8" t="s">
        <v>203</v>
      </c>
      <c r="B8" s="13">
        <v>0</v>
      </c>
      <c r="C8" s="13">
        <v>78</v>
      </c>
      <c r="D8" s="13">
        <v>2</v>
      </c>
      <c r="E8" s="19">
        <f t="shared" si="0"/>
        <v>-76</v>
      </c>
    </row>
    <row r="9" spans="1:5" ht="15" customHeight="1" x14ac:dyDescent="0.25">
      <c r="A9" t="s">
        <v>204</v>
      </c>
      <c r="B9" s="13">
        <v>16352</v>
      </c>
      <c r="C9" s="13">
        <v>39741</v>
      </c>
      <c r="D9" s="13">
        <v>337396</v>
      </c>
      <c r="E9" s="19">
        <f t="shared" si="0"/>
        <v>297655</v>
      </c>
    </row>
    <row r="10" spans="1:5" ht="15" customHeight="1" x14ac:dyDescent="0.25">
      <c r="A10" t="s">
        <v>205</v>
      </c>
      <c r="B10" s="13">
        <v>-2266</v>
      </c>
      <c r="C10" s="13">
        <v>4757</v>
      </c>
      <c r="D10" s="13">
        <v>-57419</v>
      </c>
      <c r="E10" s="19">
        <f t="shared" si="0"/>
        <v>-62176</v>
      </c>
    </row>
    <row r="11" spans="1:5" ht="15" customHeight="1" x14ac:dyDescent="0.25">
      <c r="A11" t="s">
        <v>206</v>
      </c>
      <c r="B11" s="13">
        <v>0</v>
      </c>
      <c r="C11" s="13">
        <v>405</v>
      </c>
      <c r="D11" s="13">
        <v>685</v>
      </c>
      <c r="E11" s="19">
        <f t="shared" si="0"/>
        <v>280</v>
      </c>
    </row>
    <row r="12" spans="1:5" ht="15" customHeight="1" x14ac:dyDescent="0.25">
      <c r="A12" t="s">
        <v>207</v>
      </c>
      <c r="B12" s="13">
        <v>1944</v>
      </c>
      <c r="C12" s="13">
        <v>11353</v>
      </c>
      <c r="D12" s="13">
        <v>-20035</v>
      </c>
      <c r="E12" s="19">
        <f t="shared" si="0"/>
        <v>-31388</v>
      </c>
    </row>
    <row r="13" spans="1:5" ht="15" customHeight="1" x14ac:dyDescent="0.25">
      <c r="A13" t="s">
        <v>208</v>
      </c>
      <c r="B13" s="13">
        <v>2074</v>
      </c>
      <c r="C13" s="13">
        <v>3925</v>
      </c>
      <c r="D13" s="13">
        <v>4770</v>
      </c>
      <c r="E13" s="19">
        <f t="shared" si="0"/>
        <v>845</v>
      </c>
    </row>
    <row r="14" spans="1:5" ht="15" customHeight="1" x14ac:dyDescent="0.25">
      <c r="A14" t="s">
        <v>209</v>
      </c>
      <c r="B14" s="13">
        <v>0</v>
      </c>
      <c r="C14" s="13">
        <v>6509</v>
      </c>
      <c r="D14" s="13">
        <v>6544</v>
      </c>
      <c r="E14" s="19">
        <f t="shared" si="0"/>
        <v>35</v>
      </c>
    </row>
    <row r="15" spans="1:5" ht="15" customHeight="1" x14ac:dyDescent="0.25">
      <c r="A15" s="12" t="s">
        <v>210</v>
      </c>
      <c r="B15" s="14">
        <f>SUM(B5:B14)</f>
        <v>121022</v>
      </c>
      <c r="C15" s="14">
        <f>SUM(C5:C14)</f>
        <v>-78941</v>
      </c>
      <c r="D15" s="14">
        <f>SUM(D5:D14)</f>
        <v>223861</v>
      </c>
      <c r="E15" s="19">
        <f t="shared" si="0"/>
        <v>302802</v>
      </c>
    </row>
    <row r="17" spans="1:5" ht="15" customHeight="1" x14ac:dyDescent="0.25">
      <c r="A17" s="12" t="s">
        <v>211</v>
      </c>
    </row>
    <row r="18" spans="1:5" ht="15" customHeight="1" x14ac:dyDescent="0.25">
      <c r="A18" t="s">
        <v>212</v>
      </c>
      <c r="B18" s="13">
        <v>857</v>
      </c>
      <c r="C18" s="13">
        <v>-43706</v>
      </c>
      <c r="D18" s="13">
        <v>47121</v>
      </c>
      <c r="E18" s="19">
        <f t="shared" ref="E18:E35" si="1">D18-C18</f>
        <v>90827</v>
      </c>
    </row>
    <row r="19" spans="1:5" ht="15" customHeight="1" x14ac:dyDescent="0.25">
      <c r="A19" t="s">
        <v>213</v>
      </c>
      <c r="B19" s="13">
        <v>-4524</v>
      </c>
      <c r="C19" s="13">
        <v>1723</v>
      </c>
      <c r="D19" s="13">
        <v>-16622</v>
      </c>
      <c r="E19" s="19">
        <f t="shared" si="1"/>
        <v>-18345</v>
      </c>
    </row>
    <row r="20" spans="1:5" ht="15" customHeight="1" x14ac:dyDescent="0.25">
      <c r="A20" t="s">
        <v>214</v>
      </c>
      <c r="B20" s="13">
        <v>-2015</v>
      </c>
      <c r="C20" s="13">
        <v>-222</v>
      </c>
      <c r="D20" s="13">
        <v>12</v>
      </c>
      <c r="E20" s="19">
        <f t="shared" si="1"/>
        <v>234</v>
      </c>
    </row>
    <row r="21" spans="1:5" ht="15" customHeight="1" x14ac:dyDescent="0.25">
      <c r="A21" t="s">
        <v>215</v>
      </c>
      <c r="B21" s="13">
        <v>780</v>
      </c>
      <c r="C21" s="13">
        <v>1885</v>
      </c>
      <c r="D21" s="13">
        <v>-5100</v>
      </c>
      <c r="E21" s="19">
        <f t="shared" si="1"/>
        <v>-6985</v>
      </c>
    </row>
    <row r="22" spans="1:5" ht="15" customHeight="1" x14ac:dyDescent="0.25">
      <c r="A22" t="s">
        <v>216</v>
      </c>
      <c r="B22" s="13">
        <v>0</v>
      </c>
      <c r="C22" s="13">
        <v>-21948</v>
      </c>
      <c r="D22" s="13">
        <v>0</v>
      </c>
      <c r="E22" s="19">
        <f t="shared" si="1"/>
        <v>21948</v>
      </c>
    </row>
    <row r="23" spans="1:5" ht="15" customHeight="1" x14ac:dyDescent="0.25">
      <c r="A23" t="s">
        <v>217</v>
      </c>
      <c r="B23" s="13">
        <v>-367</v>
      </c>
      <c r="C23" s="13">
        <v>-1056</v>
      </c>
      <c r="D23" s="13">
        <v>947</v>
      </c>
      <c r="E23" s="19">
        <f t="shared" si="1"/>
        <v>2003</v>
      </c>
    </row>
    <row r="24" spans="1:5" ht="15" customHeight="1" x14ac:dyDescent="0.25">
      <c r="A24" t="s">
        <v>218</v>
      </c>
      <c r="B24" s="13">
        <v>-539</v>
      </c>
      <c r="C24" s="13">
        <v>-2984</v>
      </c>
      <c r="D24" s="13">
        <v>-9912</v>
      </c>
      <c r="E24" s="19">
        <f t="shared" si="1"/>
        <v>-6928</v>
      </c>
    </row>
    <row r="25" spans="1:5" ht="15" customHeight="1" x14ac:dyDescent="0.25">
      <c r="A25" t="s">
        <v>219</v>
      </c>
      <c r="B25" s="13">
        <v>-174682</v>
      </c>
      <c r="C25" s="13">
        <v>537754</v>
      </c>
      <c r="D25" s="13">
        <v>571455</v>
      </c>
      <c r="E25" s="19">
        <f t="shared" si="1"/>
        <v>33701</v>
      </c>
    </row>
    <row r="26" spans="1:5" ht="15" customHeight="1" x14ac:dyDescent="0.25">
      <c r="A26" t="s">
        <v>220</v>
      </c>
      <c r="B26" s="13">
        <v>0</v>
      </c>
      <c r="C26" s="13">
        <v>0</v>
      </c>
      <c r="D26" s="13">
        <v>850</v>
      </c>
      <c r="E26" s="19">
        <f t="shared" si="1"/>
        <v>850</v>
      </c>
    </row>
    <row r="27" spans="1:5" ht="15" customHeight="1" x14ac:dyDescent="0.25">
      <c r="A27" t="s">
        <v>221</v>
      </c>
      <c r="B27" s="13">
        <v>14291</v>
      </c>
      <c r="C27" s="13">
        <v>54358</v>
      </c>
      <c r="D27" s="13">
        <v>-46262</v>
      </c>
      <c r="E27" s="19">
        <f t="shared" si="1"/>
        <v>-100620</v>
      </c>
    </row>
    <row r="28" spans="1:5" ht="15" customHeight="1" x14ac:dyDescent="0.25">
      <c r="A28" t="s">
        <v>222</v>
      </c>
      <c r="B28" s="13">
        <v>74183</v>
      </c>
      <c r="C28" s="13">
        <v>178714</v>
      </c>
      <c r="D28" s="13">
        <v>291919</v>
      </c>
      <c r="E28" s="19">
        <f t="shared" si="1"/>
        <v>113205</v>
      </c>
    </row>
    <row r="29" spans="1:5" ht="15" customHeight="1" x14ac:dyDescent="0.25">
      <c r="A29" t="s">
        <v>223</v>
      </c>
      <c r="B29" s="13">
        <v>4251</v>
      </c>
      <c r="C29" s="13">
        <v>14090</v>
      </c>
      <c r="D29" s="13">
        <v>8364</v>
      </c>
      <c r="E29" s="19">
        <f t="shared" si="1"/>
        <v>-5726</v>
      </c>
    </row>
    <row r="30" spans="1:5" ht="15" customHeight="1" x14ac:dyDescent="0.25">
      <c r="A30" t="s">
        <v>224</v>
      </c>
      <c r="B30" s="13">
        <v>-81215</v>
      </c>
      <c r="C30" s="13">
        <v>345849</v>
      </c>
      <c r="D30" s="13">
        <v>-187750</v>
      </c>
      <c r="E30" s="19">
        <f t="shared" si="1"/>
        <v>-533599</v>
      </c>
    </row>
    <row r="31" spans="1:5" ht="15" customHeight="1" x14ac:dyDescent="0.25">
      <c r="A31" s="12" t="s">
        <v>225</v>
      </c>
      <c r="B31" s="14">
        <f>SUM(B18:B30)</f>
        <v>-168980</v>
      </c>
      <c r="C31" s="14">
        <f>SUM(C18:C30)</f>
        <v>1064457</v>
      </c>
      <c r="D31" s="14">
        <f>SUM(D18:D30)</f>
        <v>655022</v>
      </c>
      <c r="E31" s="19">
        <f t="shared" si="1"/>
        <v>-409435</v>
      </c>
    </row>
    <row r="32" spans="1:5" ht="15" customHeight="1" x14ac:dyDescent="0.25">
      <c r="A32" s="12" t="s">
        <v>226</v>
      </c>
      <c r="B32" s="14">
        <f>B15+B31</f>
        <v>-47958</v>
      </c>
      <c r="C32" s="14">
        <f>C15+C31</f>
        <v>985516</v>
      </c>
      <c r="D32" s="14">
        <f>D15+D31</f>
        <v>878883</v>
      </c>
      <c r="E32" s="19">
        <f t="shared" si="1"/>
        <v>-106633</v>
      </c>
    </row>
    <row r="33" spans="1:5" ht="15" customHeight="1" x14ac:dyDescent="0.25">
      <c r="A33" t="s">
        <v>227</v>
      </c>
      <c r="B33" s="13">
        <v>-24490</v>
      </c>
      <c r="C33" s="13">
        <v>-42794</v>
      </c>
      <c r="D33" s="13">
        <v>-72115</v>
      </c>
      <c r="E33" s="19">
        <f t="shared" si="1"/>
        <v>-29321</v>
      </c>
    </row>
    <row r="34" spans="1:5" ht="15" customHeight="1" x14ac:dyDescent="0.25">
      <c r="A34" t="s">
        <v>228</v>
      </c>
      <c r="B34" s="13">
        <v>-19996</v>
      </c>
      <c r="C34" s="13">
        <v>-37588</v>
      </c>
      <c r="D34" s="13">
        <v>-38390</v>
      </c>
      <c r="E34" s="19">
        <f t="shared" si="1"/>
        <v>-802</v>
      </c>
    </row>
    <row r="35" spans="1:5" ht="15" customHeight="1" x14ac:dyDescent="0.25">
      <c r="A35" s="20" t="s">
        <v>229</v>
      </c>
      <c r="B35" s="15">
        <f>B32+B33+B34</f>
        <v>-92444</v>
      </c>
      <c r="C35" s="15">
        <f>C32+C33+C34</f>
        <v>905134</v>
      </c>
      <c r="D35" s="15">
        <f>D32+D33+D34</f>
        <v>768378</v>
      </c>
      <c r="E35" s="19">
        <f t="shared" si="1"/>
        <v>-136756</v>
      </c>
    </row>
    <row r="37" spans="1:5" ht="15" customHeight="1" x14ac:dyDescent="0.25">
      <c r="A37" s="12" t="s">
        <v>230</v>
      </c>
    </row>
    <row r="38" spans="1:5" ht="15" customHeight="1" x14ac:dyDescent="0.25">
      <c r="A38" t="s">
        <v>231</v>
      </c>
      <c r="B38" s="13">
        <v>-505745</v>
      </c>
      <c r="C38" s="13">
        <v>-87543</v>
      </c>
      <c r="D38" s="13">
        <v>-35322</v>
      </c>
      <c r="E38" s="19">
        <f>D38-C38</f>
        <v>52221</v>
      </c>
    </row>
    <row r="39" spans="1:5" ht="15" customHeight="1" x14ac:dyDescent="0.25">
      <c r="A39" t="s">
        <v>232</v>
      </c>
      <c r="B39" s="13">
        <v>1588</v>
      </c>
      <c r="C39" s="13">
        <v>6071</v>
      </c>
      <c r="D39" s="13">
        <v>833</v>
      </c>
      <c r="E39" s="19">
        <f>D39-C39</f>
        <v>-5238</v>
      </c>
    </row>
    <row r="40" spans="1:5" ht="15" customHeight="1" x14ac:dyDescent="0.25">
      <c r="A40" t="s">
        <v>233</v>
      </c>
      <c r="B40" s="13">
        <v>-10547</v>
      </c>
      <c r="C40" s="13">
        <v>-5198</v>
      </c>
      <c r="D40" s="13">
        <v>-28506</v>
      </c>
      <c r="E40" s="19">
        <f>D40-C40</f>
        <v>-23308</v>
      </c>
    </row>
    <row r="41" spans="1:5" ht="15" customHeight="1" x14ac:dyDescent="0.25">
      <c r="A41" t="s">
        <v>234</v>
      </c>
      <c r="B41" s="13">
        <v>-77676</v>
      </c>
      <c r="C41" s="13">
        <v>-534576</v>
      </c>
      <c r="D41" s="13">
        <v>-869962</v>
      </c>
      <c r="E41" s="19">
        <f>D41-C41</f>
        <v>-335386</v>
      </c>
    </row>
    <row r="42" spans="1:5" ht="15" customHeight="1" x14ac:dyDescent="0.25">
      <c r="A42" s="20" t="s">
        <v>235</v>
      </c>
      <c r="B42" s="15">
        <f>SUM(B38:B41)</f>
        <v>-592380</v>
      </c>
      <c r="C42" s="15">
        <f>SUM(C38:C41)</f>
        <v>-621246</v>
      </c>
      <c r="D42" s="15">
        <f>SUM(D38:D41)</f>
        <v>-932957</v>
      </c>
      <c r="E42" s="19">
        <f>D42-C42</f>
        <v>-311711</v>
      </c>
    </row>
    <row r="44" spans="1:5" ht="15" customHeight="1" x14ac:dyDescent="0.25">
      <c r="A44" s="12" t="s">
        <v>236</v>
      </c>
    </row>
    <row r="45" spans="1:5" ht="15" customHeight="1" x14ac:dyDescent="0.25">
      <c r="A45" t="s">
        <v>237</v>
      </c>
      <c r="B45" s="13">
        <v>81628</v>
      </c>
      <c r="C45" s="13">
        <v>166166</v>
      </c>
      <c r="D45" s="13">
        <v>0</v>
      </c>
      <c r="E45" s="19">
        <f t="shared" ref="E45:E51" si="2">D45-C45</f>
        <v>-166166</v>
      </c>
    </row>
    <row r="46" spans="1:5" ht="15" customHeight="1" x14ac:dyDescent="0.25">
      <c r="A46" t="s">
        <v>238</v>
      </c>
      <c r="B46" s="13">
        <v>386387</v>
      </c>
      <c r="C46" s="13">
        <v>164798</v>
      </c>
      <c r="D46" s="13">
        <v>292762</v>
      </c>
      <c r="E46" s="19">
        <f t="shared" si="2"/>
        <v>127964</v>
      </c>
    </row>
    <row r="47" spans="1:5" ht="15" customHeight="1" x14ac:dyDescent="0.25">
      <c r="A47" t="s">
        <v>239</v>
      </c>
      <c r="B47" s="13">
        <v>-37797</v>
      </c>
      <c r="C47" s="13">
        <v>-546955</v>
      </c>
      <c r="D47" s="13">
        <v>-225246</v>
      </c>
      <c r="E47" s="19">
        <f t="shared" si="2"/>
        <v>321709</v>
      </c>
    </row>
    <row r="48" spans="1:5" ht="15" customHeight="1" x14ac:dyDescent="0.25">
      <c r="A48" t="s">
        <v>240</v>
      </c>
      <c r="B48" s="13">
        <v>-2682</v>
      </c>
      <c r="C48" s="13">
        <v>-5763</v>
      </c>
      <c r="D48" s="13">
        <v>-7674</v>
      </c>
      <c r="E48" s="19">
        <f t="shared" si="2"/>
        <v>-1911</v>
      </c>
    </row>
    <row r="49" spans="1:5" ht="15" customHeight="1" x14ac:dyDescent="0.25">
      <c r="A49" t="s">
        <v>241</v>
      </c>
      <c r="B49" s="13">
        <v>18721</v>
      </c>
      <c r="C49" s="13">
        <v>49651</v>
      </c>
      <c r="D49" s="13">
        <v>19801</v>
      </c>
      <c r="E49" s="19">
        <f t="shared" si="2"/>
        <v>-29850</v>
      </c>
    </row>
    <row r="50" spans="1:5" ht="15" customHeight="1" x14ac:dyDescent="0.25">
      <c r="A50" t="s">
        <v>242</v>
      </c>
      <c r="B50" s="13">
        <v>-1901</v>
      </c>
      <c r="C50" s="13">
        <v>1109</v>
      </c>
      <c r="D50" s="13">
        <v>-18458</v>
      </c>
      <c r="E50" s="19">
        <f t="shared" si="2"/>
        <v>-19567</v>
      </c>
    </row>
    <row r="51" spans="1:5" ht="15" customHeight="1" x14ac:dyDescent="0.25">
      <c r="A51" s="20" t="s">
        <v>243</v>
      </c>
      <c r="B51" s="15">
        <f>SUM(B45:B50)</f>
        <v>444356</v>
      </c>
      <c r="C51" s="15">
        <f>SUM(C45:C50)</f>
        <v>-170994</v>
      </c>
      <c r="D51" s="15">
        <f>SUM(D45:D50)</f>
        <v>61185</v>
      </c>
      <c r="E51" s="19">
        <f t="shared" si="2"/>
        <v>232179</v>
      </c>
    </row>
    <row r="53" spans="1:5" ht="15" customHeight="1" x14ac:dyDescent="0.25">
      <c r="A53" s="12" t="s">
        <v>244</v>
      </c>
      <c r="B53" s="14">
        <f>B35+B42+B51</f>
        <v>-240468</v>
      </c>
      <c r="C53" s="14">
        <f>C35+C42+C51</f>
        <v>112894</v>
      </c>
      <c r="D53" s="14">
        <f>D35+D42+D51</f>
        <v>-103394</v>
      </c>
      <c r="E53" s="19">
        <f>D53-C53</f>
        <v>-216288</v>
      </c>
    </row>
    <row r="54" spans="1:5" ht="15" customHeight="1" x14ac:dyDescent="0.25">
      <c r="A54" t="s">
        <v>245</v>
      </c>
      <c r="B54" s="13">
        <v>3375</v>
      </c>
      <c r="C54" s="13">
        <v>16057</v>
      </c>
      <c r="D54" s="13">
        <v>128951</v>
      </c>
      <c r="E54" s="19">
        <f>D54-C54</f>
        <v>112894</v>
      </c>
    </row>
    <row r="55" spans="1:5" ht="15" customHeight="1" x14ac:dyDescent="0.25">
      <c r="A55" s="3" t="s">
        <v>246</v>
      </c>
      <c r="B55" s="22">
        <f>B54+B53</f>
        <v>-237093</v>
      </c>
      <c r="C55" s="22">
        <f>C54+C53</f>
        <v>128951</v>
      </c>
      <c r="D55" s="22">
        <f>D54+D53</f>
        <v>25557</v>
      </c>
      <c r="E55" s="19">
        <f>D55-C55</f>
        <v>-103394</v>
      </c>
    </row>
    <row r="57" spans="1:5" ht="15" customHeight="1" x14ac:dyDescent="0.25">
      <c r="A57" s="12" t="s">
        <v>247</v>
      </c>
    </row>
    <row r="58" spans="1:5" ht="15" customHeight="1" x14ac:dyDescent="0.25">
      <c r="A58" t="s">
        <v>248</v>
      </c>
      <c r="B58" s="19">
        <f>B15+B33+B34</f>
        <v>76536</v>
      </c>
      <c r="C58" s="19">
        <f>C15+C33+C34</f>
        <v>-159323</v>
      </c>
      <c r="D58" s="19">
        <f>D15+D33+D34</f>
        <v>113356</v>
      </c>
      <c r="E58" s="19">
        <f>D58-C58</f>
        <v>272679</v>
      </c>
    </row>
    <row r="59" spans="1:5" ht="15" customHeight="1" x14ac:dyDescent="0.25">
      <c r="A59" t="s">
        <v>249</v>
      </c>
      <c r="B59" s="19">
        <f>B31</f>
        <v>-168980</v>
      </c>
      <c r="C59" s="19">
        <f>C31</f>
        <v>1064457</v>
      </c>
      <c r="D59" s="19">
        <f>D31</f>
        <v>655022</v>
      </c>
      <c r="E59" s="19">
        <f>D59-C59</f>
        <v>-409435</v>
      </c>
    </row>
    <row r="60" spans="1:5" ht="15" customHeight="1" x14ac:dyDescent="0.25">
      <c r="A60" t="s">
        <v>250</v>
      </c>
      <c r="B60" s="19">
        <f>B41</f>
        <v>-77676</v>
      </c>
      <c r="C60" s="19">
        <f>C41</f>
        <v>-534576</v>
      </c>
      <c r="D60" s="19">
        <f>D41</f>
        <v>-869962</v>
      </c>
      <c r="E60" s="19">
        <f>D60-C60</f>
        <v>-335386</v>
      </c>
    </row>
    <row r="61" spans="1:5" ht="15" customHeight="1" x14ac:dyDescent="0.25">
      <c r="A61" t="s">
        <v>251</v>
      </c>
      <c r="B61" s="19">
        <f>B45</f>
        <v>81628</v>
      </c>
      <c r="C61" s="19">
        <f>C45</f>
        <v>166166</v>
      </c>
      <c r="D61" s="19">
        <f>D45</f>
        <v>0</v>
      </c>
    </row>
    <row r="63" spans="1:5" ht="15" customHeight="1" x14ac:dyDescent="0.25">
      <c r="A63" s="3" t="s">
        <v>122</v>
      </c>
    </row>
    <row r="64" spans="1:5" ht="27.75" customHeight="1" x14ac:dyDescent="0.25">
      <c r="A64" s="73" t="s">
        <v>252</v>
      </c>
      <c r="B64" s="70"/>
      <c r="C64" s="70"/>
      <c r="D64" s="70"/>
      <c r="E64" s="70"/>
    </row>
    <row r="65" spans="1:5" ht="15" customHeight="1" x14ac:dyDescent="0.25">
      <c r="A65" s="73" t="s">
        <v>253</v>
      </c>
      <c r="B65" s="70"/>
      <c r="C65" s="70"/>
      <c r="D65" s="70"/>
      <c r="E65" s="70"/>
    </row>
    <row r="66" spans="1:5" ht="15" customHeight="1" x14ac:dyDescent="0.25">
      <c r="A66" s="73" t="s">
        <v>254</v>
      </c>
      <c r="B66" s="70"/>
      <c r="C66" s="70"/>
      <c r="D66" s="70"/>
      <c r="E66" s="70"/>
    </row>
    <row r="67" spans="1:5" ht="27.75" customHeight="1" x14ac:dyDescent="0.25">
      <c r="A67" s="73" t="s">
        <v>255</v>
      </c>
      <c r="B67" s="70"/>
      <c r="C67" s="70"/>
      <c r="D67" s="70"/>
      <c r="E67" s="70"/>
    </row>
    <row r="68" spans="1:5" ht="27.75" customHeight="1" x14ac:dyDescent="0.25">
      <c r="A68" s="73" t="s">
        <v>256</v>
      </c>
      <c r="B68" s="70"/>
      <c r="C68" s="70"/>
      <c r="D68" s="70"/>
      <c r="E68" s="70"/>
    </row>
  </sheetData>
  <mergeCells count="6">
    <mergeCell ref="A65:E65"/>
    <mergeCell ref="A64:E64"/>
    <mergeCell ref="A68:E68"/>
    <mergeCell ref="A1:E1"/>
    <mergeCell ref="A66:E66"/>
    <mergeCell ref="A67:E67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2"/>
  <sheetViews>
    <sheetView topLeftCell="A16" zoomScaleNormal="100" workbookViewId="0">
      <selection sqref="A1:E1"/>
    </sheetView>
  </sheetViews>
  <sheetFormatPr defaultColWidth="8.7109375" defaultRowHeight="15" x14ac:dyDescent="0.25"/>
  <cols>
    <col min="1" max="1" width="60" customWidth="1"/>
    <col min="2" max="5" width="16" customWidth="1"/>
  </cols>
  <sheetData>
    <row r="1" spans="1:5" ht="15" customHeight="1" x14ac:dyDescent="0.25">
      <c r="A1" s="74" t="s">
        <v>257</v>
      </c>
      <c r="B1" s="70"/>
      <c r="C1" s="70"/>
      <c r="D1" s="70"/>
      <c r="E1" s="70"/>
    </row>
    <row r="2" spans="1:5" ht="15" customHeight="1" x14ac:dyDescent="0.25">
      <c r="A2" s="76" t="s">
        <v>258</v>
      </c>
      <c r="B2" s="70"/>
      <c r="C2" s="70"/>
      <c r="D2" s="70"/>
      <c r="E2" s="70"/>
    </row>
    <row r="3" spans="1:5" ht="15" customHeight="1" x14ac:dyDescent="0.25">
      <c r="A3" s="10" t="s">
        <v>69</v>
      </c>
      <c r="B3" s="10" t="s">
        <v>154</v>
      </c>
      <c r="C3" s="10" t="s">
        <v>70</v>
      </c>
      <c r="D3" s="10" t="s">
        <v>71</v>
      </c>
      <c r="E3" s="10" t="s">
        <v>72</v>
      </c>
    </row>
    <row r="5" spans="1:5" ht="15" customHeight="1" x14ac:dyDescent="0.25">
      <c r="A5" s="12" t="s">
        <v>259</v>
      </c>
    </row>
    <row r="6" spans="1:5" ht="15" customHeight="1" x14ac:dyDescent="0.25">
      <c r="A6" t="s">
        <v>260</v>
      </c>
      <c r="B6" s="13">
        <v>-235491</v>
      </c>
      <c r="C6" s="23">
        <f>DRE!B13</f>
        <v>-18309</v>
      </c>
      <c r="D6" s="23">
        <f>DRE!C13</f>
        <v>-160119</v>
      </c>
      <c r="E6" s="23">
        <f>DRE!D13</f>
        <v>-274066</v>
      </c>
    </row>
    <row r="8" spans="1:5" ht="15" customHeight="1" x14ac:dyDescent="0.25">
      <c r="A8" s="12" t="s">
        <v>261</v>
      </c>
    </row>
    <row r="9" spans="1:5" ht="15" customHeight="1" x14ac:dyDescent="0.25">
      <c r="A9" t="s">
        <v>262</v>
      </c>
      <c r="B9" s="13">
        <v>81286</v>
      </c>
      <c r="C9" s="13">
        <v>94648</v>
      </c>
      <c r="D9" s="13">
        <v>132676</v>
      </c>
      <c r="E9" s="13">
        <v>247585</v>
      </c>
    </row>
    <row r="10" spans="1:5" ht="15" customHeight="1" x14ac:dyDescent="0.25">
      <c r="A10" t="s">
        <v>263</v>
      </c>
      <c r="B10" s="13">
        <v>0</v>
      </c>
      <c r="C10" s="13">
        <v>-165000</v>
      </c>
      <c r="D10" s="13">
        <v>0</v>
      </c>
      <c r="E10" s="13">
        <v>0</v>
      </c>
    </row>
    <row r="11" spans="1:5" ht="15" customHeight="1" x14ac:dyDescent="0.25">
      <c r="A11" t="s">
        <v>264</v>
      </c>
      <c r="B11" s="13">
        <v>0</v>
      </c>
      <c r="C11" s="13">
        <v>0</v>
      </c>
      <c r="D11" s="13">
        <v>0</v>
      </c>
      <c r="E11" s="24">
        <v>0</v>
      </c>
    </row>
    <row r="12" spans="1:5" ht="15" customHeight="1" x14ac:dyDescent="0.25">
      <c r="A12" t="s">
        <v>265</v>
      </c>
      <c r="B12" s="13">
        <v>0</v>
      </c>
      <c r="C12" s="13">
        <v>0</v>
      </c>
      <c r="D12" s="13">
        <v>0</v>
      </c>
      <c r="E12" s="13">
        <v>0</v>
      </c>
    </row>
    <row r="14" spans="1:5" ht="15" customHeight="1" x14ac:dyDescent="0.25">
      <c r="A14" s="20" t="s">
        <v>266</v>
      </c>
      <c r="B14" s="15">
        <f>B6+B9+B10+B11+B12</f>
        <v>-154205</v>
      </c>
      <c r="C14" s="15">
        <f>C6+C9+C10+C11+C12</f>
        <v>-88661</v>
      </c>
      <c r="D14" s="15">
        <f>D6+D9+D10+D11+D12</f>
        <v>-27443</v>
      </c>
      <c r="E14" s="15">
        <f>E6+E9+E10+E11+E12</f>
        <v>-26481</v>
      </c>
    </row>
    <row r="16" spans="1:5" ht="15" customHeight="1" x14ac:dyDescent="0.25">
      <c r="A16" s="12" t="s">
        <v>267</v>
      </c>
    </row>
    <row r="17" spans="1:5" ht="15" customHeight="1" x14ac:dyDescent="0.25">
      <c r="A17" t="s">
        <v>268</v>
      </c>
      <c r="B17" s="13">
        <v>143000</v>
      </c>
      <c r="C17" s="23">
        <f>DRE!B6</f>
        <v>279197</v>
      </c>
      <c r="D17" s="23">
        <f>DRE!C6</f>
        <v>552271</v>
      </c>
      <c r="E17" s="23">
        <f>DRE!D6</f>
        <v>574006</v>
      </c>
    </row>
    <row r="18" spans="1:5" ht="15" customHeight="1" x14ac:dyDescent="0.25">
      <c r="A18" t="s">
        <v>269</v>
      </c>
      <c r="B18" s="21">
        <f>IFERROR(B14/B17,"-")</f>
        <v>-1.0783566433566434</v>
      </c>
      <c r="C18" s="21">
        <f>IFERROR(C14/C17,"-")</f>
        <v>-0.31755713707525512</v>
      </c>
      <c r="D18" s="21">
        <f>IFERROR(D14/D17,"-")</f>
        <v>-4.9691184219341593E-2</v>
      </c>
      <c r="E18" s="21">
        <f>IFERROR(E14/E17,"-")</f>
        <v>-4.6133664108040685E-2</v>
      </c>
    </row>
    <row r="19" spans="1:5" ht="15" customHeight="1" x14ac:dyDescent="0.25">
      <c r="A19" t="s">
        <v>270</v>
      </c>
      <c r="C19" s="19">
        <f>C14-B14</f>
        <v>65544</v>
      </c>
      <c r="D19" s="19">
        <f>D14-C14</f>
        <v>61218</v>
      </c>
      <c r="E19" s="19">
        <f>E14-D14</f>
        <v>962</v>
      </c>
    </row>
    <row r="21" spans="1:5" ht="15" customHeight="1" x14ac:dyDescent="0.25">
      <c r="A21" s="12" t="s">
        <v>271</v>
      </c>
    </row>
    <row r="22" spans="1:5" ht="15" customHeight="1" x14ac:dyDescent="0.25">
      <c r="A22" t="s">
        <v>272</v>
      </c>
      <c r="B22" s="13">
        <v>-154205</v>
      </c>
      <c r="C22" s="13">
        <v>198213</v>
      </c>
      <c r="D22" s="13">
        <v>80915</v>
      </c>
      <c r="E22" s="13">
        <v>603799</v>
      </c>
    </row>
    <row r="23" spans="1:5" ht="15" customHeight="1" x14ac:dyDescent="0.25">
      <c r="A23" t="s">
        <v>273</v>
      </c>
      <c r="B23" s="13">
        <v>0</v>
      </c>
      <c r="C23" s="13">
        <v>-39778</v>
      </c>
      <c r="D23" s="13">
        <v>-50524</v>
      </c>
      <c r="E23" s="13">
        <v>-284518</v>
      </c>
    </row>
    <row r="24" spans="1:5" ht="15" customHeight="1" x14ac:dyDescent="0.25">
      <c r="A24" t="s">
        <v>274</v>
      </c>
      <c r="B24" s="13">
        <v>0</v>
      </c>
      <c r="C24" s="13">
        <v>-165000</v>
      </c>
      <c r="D24" s="13">
        <v>0</v>
      </c>
      <c r="E24" s="24">
        <v>0</v>
      </c>
    </row>
    <row r="25" spans="1:5" ht="15" customHeight="1" x14ac:dyDescent="0.25">
      <c r="A25" s="12" t="s">
        <v>275</v>
      </c>
      <c r="B25" s="14">
        <f>B22+B23+B24</f>
        <v>-154205</v>
      </c>
      <c r="C25" s="14">
        <f>C22+C23+C24</f>
        <v>-6565</v>
      </c>
      <c r="D25" s="14">
        <f>D22+D23+D24</f>
        <v>30391</v>
      </c>
      <c r="E25" s="14">
        <f>E22+E23+E24</f>
        <v>319281</v>
      </c>
    </row>
    <row r="27" spans="1:5" ht="15" customHeight="1" x14ac:dyDescent="0.25">
      <c r="A27" s="3" t="s">
        <v>276</v>
      </c>
    </row>
    <row r="28" spans="1:5" ht="27.75" customHeight="1" x14ac:dyDescent="0.25">
      <c r="A28" s="73" t="s">
        <v>277</v>
      </c>
      <c r="B28" s="70"/>
      <c r="C28" s="70"/>
      <c r="D28" s="70"/>
      <c r="E28" s="70"/>
    </row>
    <row r="29" spans="1:5" ht="27.75" customHeight="1" x14ac:dyDescent="0.25">
      <c r="A29" s="73" t="s">
        <v>278</v>
      </c>
      <c r="B29" s="70"/>
      <c r="C29" s="70"/>
      <c r="D29" s="70"/>
      <c r="E29" s="70"/>
    </row>
    <row r="30" spans="1:5" ht="27.75" customHeight="1" x14ac:dyDescent="0.25">
      <c r="A30" s="73" t="s">
        <v>279</v>
      </c>
      <c r="B30" s="70"/>
      <c r="C30" s="70"/>
      <c r="D30" s="70"/>
      <c r="E30" s="70"/>
    </row>
    <row r="31" spans="1:5" ht="27.75" customHeight="1" x14ac:dyDescent="0.25">
      <c r="A31" s="73" t="s">
        <v>280</v>
      </c>
      <c r="B31" s="70"/>
      <c r="C31" s="70"/>
      <c r="D31" s="70"/>
      <c r="E31" s="70"/>
    </row>
    <row r="32" spans="1:5" ht="27.75" customHeight="1" x14ac:dyDescent="0.25">
      <c r="A32" s="73" t="s">
        <v>281</v>
      </c>
      <c r="B32" s="70"/>
      <c r="C32" s="70"/>
      <c r="D32" s="70"/>
      <c r="E32" s="70"/>
    </row>
  </sheetData>
  <mergeCells count="7">
    <mergeCell ref="A1:E1"/>
    <mergeCell ref="A32:E32"/>
    <mergeCell ref="A31:E31"/>
    <mergeCell ref="A30:E30"/>
    <mergeCell ref="A29:E29"/>
    <mergeCell ref="A2:E2"/>
    <mergeCell ref="A28:E28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9"/>
  <sheetViews>
    <sheetView topLeftCell="A49" zoomScaleNormal="100" workbookViewId="0">
      <selection sqref="A1:E1"/>
    </sheetView>
  </sheetViews>
  <sheetFormatPr defaultColWidth="8.7109375" defaultRowHeight="15" x14ac:dyDescent="0.25"/>
  <cols>
    <col min="1" max="1" width="55" customWidth="1"/>
    <col min="2" max="5" width="16" customWidth="1"/>
  </cols>
  <sheetData>
    <row r="1" spans="1:5" ht="15" customHeight="1" x14ac:dyDescent="0.25">
      <c r="A1" s="74" t="s">
        <v>282</v>
      </c>
      <c r="B1" s="70"/>
      <c r="C1" s="70"/>
      <c r="D1" s="70"/>
      <c r="E1" s="70"/>
    </row>
    <row r="2" spans="1:5" ht="15" customHeight="1" x14ac:dyDescent="0.25">
      <c r="A2" s="10" t="s">
        <v>283</v>
      </c>
      <c r="B2" s="10" t="s">
        <v>70</v>
      </c>
      <c r="C2" s="10" t="s">
        <v>71</v>
      </c>
      <c r="D2" s="10" t="s">
        <v>72</v>
      </c>
      <c r="E2" s="10" t="s">
        <v>284</v>
      </c>
    </row>
    <row r="4" spans="1:5" ht="15" customHeight="1" x14ac:dyDescent="0.25">
      <c r="A4" s="12" t="s">
        <v>285</v>
      </c>
    </row>
    <row r="5" spans="1:5" ht="15" customHeight="1" x14ac:dyDescent="0.25">
      <c r="A5" t="s">
        <v>286</v>
      </c>
      <c r="B5" s="23">
        <f>BP!B13-BP!B35</f>
        <v>-215983</v>
      </c>
      <c r="C5" s="23">
        <f>BP!C13-BP!C35</f>
        <v>-549048</v>
      </c>
      <c r="D5" s="23">
        <f>BP!D13-BP!D35</f>
        <v>-952032</v>
      </c>
      <c r="E5" s="2" t="s">
        <v>287</v>
      </c>
    </row>
    <row r="6" spans="1:5" ht="15" customHeight="1" x14ac:dyDescent="0.25">
      <c r="A6" t="s">
        <v>288</v>
      </c>
      <c r="B6" s="25">
        <f>IFERROR(BP!B13/BP!B35,"-")</f>
        <v>0.68997002807714614</v>
      </c>
      <c r="C6" s="25">
        <f>IFERROR(BP!C13/BP!C35,"-")</f>
        <v>0.54621582039321215</v>
      </c>
      <c r="D6" s="25">
        <f>IFERROR(BP!D13/BP!D35,"-")</f>
        <v>0.29666406864682565</v>
      </c>
      <c r="E6" s="2" t="s">
        <v>289</v>
      </c>
    </row>
    <row r="7" spans="1:5" ht="15" customHeight="1" x14ac:dyDescent="0.25">
      <c r="A7" t="s">
        <v>290</v>
      </c>
      <c r="B7" s="25">
        <f>IFERROR(BP!B6/BP!B35,"-")</f>
        <v>2.3048810596969505E-2</v>
      </c>
      <c r="C7" s="25">
        <f>IFERROR(BP!C6/BP!C35,"-")</f>
        <v>0.10657706383499238</v>
      </c>
      <c r="D7" s="25">
        <f>IFERROR(BP!D6/BP!D35,"-")</f>
        <v>1.8880832154374094E-2</v>
      </c>
      <c r="E7" s="2" t="s">
        <v>291</v>
      </c>
    </row>
    <row r="8" spans="1:5" ht="15" customHeight="1" x14ac:dyDescent="0.25">
      <c r="A8" t="s">
        <v>292</v>
      </c>
      <c r="B8" s="26">
        <f>IFERROR(BP!B6/(BP!B27+BP!B28),"-")</f>
        <v>3.0228070670845923E-2</v>
      </c>
      <c r="C8" s="26">
        <f>IFERROR(BP!C6/(BP!C27+BP!C28),"-")</f>
        <v>0.24426470170387279</v>
      </c>
      <c r="D8" s="26">
        <f>IFERROR(BP!D6/(BP!D27+BP!D28),"-")</f>
        <v>2.6372081936408581E-2</v>
      </c>
      <c r="E8" s="2" t="s">
        <v>293</v>
      </c>
    </row>
    <row r="10" spans="1:5" ht="15" customHeight="1" x14ac:dyDescent="0.25">
      <c r="A10" s="12" t="s">
        <v>294</v>
      </c>
    </row>
    <row r="11" spans="1:5" ht="15" customHeight="1" x14ac:dyDescent="0.25">
      <c r="A11" t="s">
        <v>295</v>
      </c>
      <c r="B11" s="23">
        <f>BP!B28+BP!B38</f>
        <v>377592</v>
      </c>
      <c r="C11" s="23">
        <f>BP!C28+BP!C38</f>
        <v>48112</v>
      </c>
      <c r="D11" s="23">
        <f>BP!D28+BP!D38</f>
        <v>138972</v>
      </c>
      <c r="E11" s="2" t="s">
        <v>296</v>
      </c>
    </row>
    <row r="12" spans="1:5" ht="15" customHeight="1" x14ac:dyDescent="0.25">
      <c r="A12" t="s">
        <v>297</v>
      </c>
      <c r="B12" s="23">
        <f>BP!B28+BP!B38-BP!B6</f>
        <v>361535</v>
      </c>
      <c r="C12" s="23">
        <f>BP!C28+BP!C38-BP!C6</f>
        <v>-80839</v>
      </c>
      <c r="D12" s="23">
        <f>BP!D28+BP!D38-BP!D6</f>
        <v>113415</v>
      </c>
      <c r="E12" s="2" t="s">
        <v>296</v>
      </c>
    </row>
    <row r="13" spans="1:5" ht="15" customHeight="1" x14ac:dyDescent="0.25">
      <c r="A13" t="s">
        <v>298</v>
      </c>
      <c r="B13" s="26">
        <f>IFERROR(BP!B44/BP!B23,"-")</f>
        <v>1.0350552831832986</v>
      </c>
      <c r="C13" s="26">
        <f>IFERROR(BP!C44/BP!C23,"-")</f>
        <v>1.0989794485934079</v>
      </c>
      <c r="D13" s="26">
        <f>IFERROR(BP!D44/BP!D23,"-")</f>
        <v>1.2726001840404839</v>
      </c>
      <c r="E13" s="2" t="s">
        <v>299</v>
      </c>
    </row>
    <row r="14" spans="1:5" ht="15" customHeight="1" x14ac:dyDescent="0.25">
      <c r="A14" t="s">
        <v>300</v>
      </c>
      <c r="B14" s="26">
        <f>IFERROR(BP!B50/BP!B23,"-")</f>
        <v>-3.5055283183298688E-2</v>
      </c>
      <c r="C14" s="26">
        <f>IFERROR(BP!C50/BP!C23,"-")</f>
        <v>-9.8980852378011117E-2</v>
      </c>
      <c r="D14" s="26">
        <f>IFERROR(BP!D50/BP!D23,"-")</f>
        <v>-0.27260018404048386</v>
      </c>
      <c r="E14" s="2" t="s">
        <v>301</v>
      </c>
    </row>
    <row r="15" spans="1:5" ht="15" customHeight="1" x14ac:dyDescent="0.25">
      <c r="A15" t="s">
        <v>302</v>
      </c>
      <c r="B15" s="26">
        <f>IFERROR((BP!B27+BP!B37)/DRE!B4,"-")</f>
        <v>0.56151415514578162</v>
      </c>
      <c r="C15" s="26">
        <f>IFERROR((BP!C27+BP!C37)/DRE!C4,"-")</f>
        <v>1.0669249590826613</v>
      </c>
      <c r="D15" s="26">
        <f>IFERROR((BP!D27+BP!D37)/DRE!D4,"-")</f>
        <v>1.7824582883610445</v>
      </c>
      <c r="E15" s="2" t="s">
        <v>303</v>
      </c>
    </row>
    <row r="17" spans="1:5" ht="15" customHeight="1" x14ac:dyDescent="0.25">
      <c r="A17" s="12" t="s">
        <v>304</v>
      </c>
    </row>
    <row r="18" spans="1:5" ht="15" customHeight="1" x14ac:dyDescent="0.25">
      <c r="A18" t="s">
        <v>144</v>
      </c>
      <c r="B18" s="26">
        <f>IFERROR(DRE!B8/DRE!B6,"-")</f>
        <v>-0.34254307890127761</v>
      </c>
      <c r="C18" s="26">
        <f>IFERROR(DRE!C8/DRE!C6,"-")</f>
        <v>-0.10196624483269989</v>
      </c>
      <c r="D18" s="26">
        <f>IFERROR(DRE!D8/DRE!D6,"-")</f>
        <v>-0.17638840012125309</v>
      </c>
      <c r="E18" s="2" t="s">
        <v>301</v>
      </c>
    </row>
    <row r="19" spans="1:5" ht="15" customHeight="1" x14ac:dyDescent="0.25">
      <c r="A19" t="s">
        <v>305</v>
      </c>
      <c r="B19" s="26">
        <f>IFERROR(DRE!B13/DRE!B6,"-")</f>
        <v>-6.5577352192179722E-2</v>
      </c>
      <c r="C19" s="26">
        <f>IFERROR(DRE!C13/DRE!C6,"-")</f>
        <v>-0.2899283141790896</v>
      </c>
      <c r="D19" s="26">
        <f>IFERROR(DRE!D13/DRE!D6,"-")</f>
        <v>-0.47746190806367877</v>
      </c>
      <c r="E19" s="2" t="s">
        <v>301</v>
      </c>
    </row>
    <row r="20" spans="1:5" ht="15" customHeight="1" x14ac:dyDescent="0.25">
      <c r="A20" t="s">
        <v>269</v>
      </c>
      <c r="B20" s="26">
        <f>IFERROR('Operacional Puro'!C14/DRE!B6,"-")</f>
        <v>-0.31755713707525512</v>
      </c>
      <c r="C20" s="26">
        <f>IFERROR('Operacional Puro'!D14/DRE!C6,"-")</f>
        <v>-4.9691184219341593E-2</v>
      </c>
      <c r="D20" s="26">
        <f>IFERROR('Operacional Puro'!E14/DRE!D6,"-")</f>
        <v>-4.6133664108040685E-2</v>
      </c>
      <c r="E20" s="2" t="s">
        <v>306</v>
      </c>
    </row>
    <row r="21" spans="1:5" ht="15" customHeight="1" x14ac:dyDescent="0.25">
      <c r="A21" t="s">
        <v>146</v>
      </c>
      <c r="B21" s="26">
        <f>IFERROR(DRE!B18/DRE!B6,"-")</f>
        <v>-0.2007077439943839</v>
      </c>
      <c r="C21" s="26">
        <f>IFERROR(DRE!C18/DRE!C6,"-")</f>
        <v>-0.48312694311307314</v>
      </c>
      <c r="D21" s="26">
        <f>IFERROR(DRE!D18/DRE!D6,"-")</f>
        <v>-0.50678564335564436</v>
      </c>
      <c r="E21" s="2" t="s">
        <v>301</v>
      </c>
    </row>
    <row r="22" spans="1:5" ht="15" customHeight="1" x14ac:dyDescent="0.25">
      <c r="A22" t="s">
        <v>307</v>
      </c>
      <c r="B22" s="25">
        <f>IFERROR(-DFC!B41/DRE!B14,"-")</f>
        <v>1.0087792207792208</v>
      </c>
      <c r="C22" s="25">
        <f>IFERROR(-DFC!C41/DRE!C14,"-")</f>
        <v>5.5479264394536925</v>
      </c>
      <c r="D22" s="25">
        <f>IFERROR(-DFC!D41/DRE!D14,"-")</f>
        <v>1.1862670635607839</v>
      </c>
      <c r="E22" s="2" t="s">
        <v>308</v>
      </c>
    </row>
    <row r="24" spans="1:5" ht="15" customHeight="1" x14ac:dyDescent="0.25">
      <c r="A24" s="12" t="s">
        <v>309</v>
      </c>
    </row>
    <row r="25" spans="1:5" ht="15" customHeight="1" x14ac:dyDescent="0.25">
      <c r="A25" t="s">
        <v>310</v>
      </c>
      <c r="B25" s="13">
        <v>130000</v>
      </c>
      <c r="C25" s="13">
        <v>357511</v>
      </c>
      <c r="D25" s="13">
        <v>335978</v>
      </c>
    </row>
    <row r="26" spans="1:5" ht="15" customHeight="1" x14ac:dyDescent="0.25">
      <c r="A26" t="s">
        <v>311</v>
      </c>
      <c r="B26" s="13">
        <v>30000</v>
      </c>
      <c r="C26" s="13">
        <v>82501</v>
      </c>
      <c r="D26" s="13">
        <v>102163</v>
      </c>
    </row>
    <row r="27" spans="1:5" ht="15" customHeight="1" x14ac:dyDescent="0.25">
      <c r="A27" s="12" t="s">
        <v>312</v>
      </c>
      <c r="B27" s="14">
        <f>SUM(B25:B26)</f>
        <v>160000</v>
      </c>
      <c r="C27" s="14">
        <f>SUM(C25:C26)</f>
        <v>440012</v>
      </c>
      <c r="D27" s="14">
        <f>SUM(D25:D26)</f>
        <v>438141</v>
      </c>
    </row>
    <row r="28" spans="1:5" ht="15" customHeight="1" x14ac:dyDescent="0.25">
      <c r="A28" t="s">
        <v>313</v>
      </c>
      <c r="B28" s="26">
        <f>IFERROR(B27/DRE!B6,"-")</f>
        <v>0.57307206022987356</v>
      </c>
      <c r="C28" s="26">
        <f>IFERROR(C27/DRE!C6,"-")</f>
        <v>0.79673203916193314</v>
      </c>
      <c r="D28" s="26">
        <f>IFERROR(D27/DRE!D6,"-")</f>
        <v>0.76330386790381977</v>
      </c>
      <c r="E28" s="2" t="s">
        <v>314</v>
      </c>
    </row>
    <row r="29" spans="1:5" ht="15" customHeight="1" x14ac:dyDescent="0.25">
      <c r="A29" t="s">
        <v>315</v>
      </c>
      <c r="B29" s="26">
        <f>IFERROR(B27/DRE!B4,"-")</f>
        <v>0.5127514885816653</v>
      </c>
      <c r="C29" s="26">
        <f>IFERROR(C27/DRE!C4,"-")</f>
        <v>0.72451187343781387</v>
      </c>
      <c r="D29" s="26">
        <f>IFERROR(D27/DRE!D4,"-")</f>
        <v>0.66888385775983805</v>
      </c>
      <c r="E29" s="2" t="s">
        <v>314</v>
      </c>
    </row>
    <row r="31" spans="1:5" ht="15" customHeight="1" x14ac:dyDescent="0.25">
      <c r="A31" s="12" t="s">
        <v>316</v>
      </c>
    </row>
    <row r="32" spans="1:5" ht="15" customHeight="1" x14ac:dyDescent="0.25">
      <c r="A32" t="s">
        <v>317</v>
      </c>
      <c r="B32" s="23">
        <f>DFC!B35</f>
        <v>-92444</v>
      </c>
      <c r="C32" s="23">
        <f>DFC!C35</f>
        <v>905134</v>
      </c>
      <c r="D32" s="23">
        <f>DFC!D35</f>
        <v>768378</v>
      </c>
      <c r="E32" s="2" t="s">
        <v>318</v>
      </c>
    </row>
    <row r="33" spans="1:5" ht="15" customHeight="1" x14ac:dyDescent="0.25">
      <c r="A33" t="s">
        <v>319</v>
      </c>
      <c r="B33" s="23">
        <f>DFC!B66</f>
        <v>0</v>
      </c>
      <c r="C33" s="23">
        <f>DFC!C66</f>
        <v>0</v>
      </c>
      <c r="D33" s="23">
        <f>DFC!D66</f>
        <v>0</v>
      </c>
      <c r="E33" s="2" t="s">
        <v>296</v>
      </c>
    </row>
    <row r="34" spans="1:5" ht="15" customHeight="1" x14ac:dyDescent="0.25">
      <c r="A34" t="s">
        <v>320</v>
      </c>
      <c r="B34" s="23">
        <f>DFC!B41</f>
        <v>-77676</v>
      </c>
      <c r="C34" s="23">
        <f>DFC!C41</f>
        <v>-534576</v>
      </c>
      <c r="D34" s="23">
        <f>DFC!D41</f>
        <v>-869962</v>
      </c>
      <c r="E34" s="2" t="s">
        <v>296</v>
      </c>
    </row>
    <row r="36" spans="1:5" ht="15" customHeight="1" x14ac:dyDescent="0.25">
      <c r="A36" s="3" t="s">
        <v>122</v>
      </c>
    </row>
    <row r="37" spans="1:5" ht="27.75" customHeight="1" x14ac:dyDescent="0.25">
      <c r="A37" s="73" t="s">
        <v>321</v>
      </c>
      <c r="B37" s="70"/>
      <c r="C37" s="70"/>
      <c r="D37" s="70"/>
      <c r="E37" s="70"/>
    </row>
    <row r="38" spans="1:5" ht="15" customHeight="1" x14ac:dyDescent="0.25">
      <c r="A38" s="73" t="s">
        <v>322</v>
      </c>
      <c r="B38" s="70"/>
      <c r="C38" s="70"/>
      <c r="D38" s="70"/>
      <c r="E38" s="70"/>
    </row>
    <row r="39" spans="1:5" ht="15" customHeight="1" x14ac:dyDescent="0.25">
      <c r="A39" s="73" t="s">
        <v>323</v>
      </c>
      <c r="B39" s="70"/>
      <c r="C39" s="70"/>
      <c r="D39" s="70"/>
      <c r="E39" s="70"/>
    </row>
  </sheetData>
  <mergeCells count="4">
    <mergeCell ref="A39:E39"/>
    <mergeCell ref="A1:E1"/>
    <mergeCell ref="A37:E37"/>
    <mergeCell ref="A38:E38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8"/>
  <sheetViews>
    <sheetView topLeftCell="A34" zoomScaleNormal="100" workbookViewId="0">
      <selection activeCell="A46" sqref="A46:D46"/>
    </sheetView>
  </sheetViews>
  <sheetFormatPr defaultColWidth="8.7109375" defaultRowHeight="15" x14ac:dyDescent="0.25"/>
  <cols>
    <col min="1" max="1" width="60" customWidth="1"/>
    <col min="2" max="4" width="18" customWidth="1"/>
  </cols>
  <sheetData>
    <row r="1" spans="1:4" ht="15" customHeight="1" x14ac:dyDescent="0.25">
      <c r="A1" s="74" t="s">
        <v>324</v>
      </c>
      <c r="B1" s="70"/>
      <c r="C1" s="70"/>
      <c r="D1" s="70"/>
    </row>
    <row r="2" spans="1:4" ht="15" customHeight="1" x14ac:dyDescent="0.25">
      <c r="A2" s="76" t="s">
        <v>325</v>
      </c>
      <c r="B2" s="70"/>
      <c r="C2" s="70"/>
      <c r="D2" s="70"/>
    </row>
    <row r="3" spans="1:4" ht="15" customHeight="1" x14ac:dyDescent="0.25">
      <c r="A3" s="10" t="s">
        <v>326</v>
      </c>
      <c r="B3" s="10" t="s">
        <v>327</v>
      </c>
      <c r="C3" s="10" t="s">
        <v>328</v>
      </c>
      <c r="D3" s="10" t="s">
        <v>329</v>
      </c>
    </row>
    <row r="5" spans="1:4" ht="15" customHeight="1" x14ac:dyDescent="0.25">
      <c r="A5" s="12" t="s">
        <v>330</v>
      </c>
    </row>
    <row r="6" spans="1:4" ht="15" customHeight="1" x14ac:dyDescent="0.25">
      <c r="A6" t="s">
        <v>331</v>
      </c>
      <c r="B6" s="23">
        <f>DRE!D4</f>
        <v>655033</v>
      </c>
      <c r="C6" s="23">
        <f>DRE!D4</f>
        <v>655033</v>
      </c>
      <c r="D6" s="23">
        <f>DRE!D4</f>
        <v>655033</v>
      </c>
    </row>
    <row r="7" spans="1:4" ht="15" customHeight="1" x14ac:dyDescent="0.25">
      <c r="A7" t="s">
        <v>332</v>
      </c>
      <c r="B7" s="13">
        <v>-147822</v>
      </c>
      <c r="C7" s="13">
        <v>-147822</v>
      </c>
      <c r="D7" s="13">
        <v>-147822</v>
      </c>
    </row>
    <row r="8" spans="1:4" ht="15" customHeight="1" x14ac:dyDescent="0.25">
      <c r="A8" t="s">
        <v>333</v>
      </c>
      <c r="B8" s="13">
        <v>0</v>
      </c>
      <c r="C8" s="13">
        <v>-15000</v>
      </c>
      <c r="D8" s="13">
        <v>-31302</v>
      </c>
    </row>
    <row r="9" spans="1:4" ht="15" customHeight="1" x14ac:dyDescent="0.25">
      <c r="A9" s="12" t="s">
        <v>334</v>
      </c>
      <c r="B9" s="14">
        <f>B6+B7+B8</f>
        <v>507211</v>
      </c>
      <c r="C9" s="14">
        <f>C6+C7+C8</f>
        <v>492211</v>
      </c>
      <c r="D9" s="14">
        <f>D6+D7+D8</f>
        <v>475909</v>
      </c>
    </row>
    <row r="11" spans="1:4" ht="15" customHeight="1" x14ac:dyDescent="0.25">
      <c r="A11" s="12" t="s">
        <v>335</v>
      </c>
    </row>
    <row r="12" spans="1:4" ht="15" customHeight="1" x14ac:dyDescent="0.25">
      <c r="A12" t="s">
        <v>336</v>
      </c>
      <c r="B12" s="27">
        <v>0.05</v>
      </c>
      <c r="C12" s="27">
        <v>0.03</v>
      </c>
      <c r="D12" s="27">
        <v>-0.05</v>
      </c>
    </row>
    <row r="13" spans="1:4" ht="15" customHeight="1" x14ac:dyDescent="0.25">
      <c r="A13" t="s">
        <v>337</v>
      </c>
      <c r="B13" s="24">
        <v>180000</v>
      </c>
      <c r="C13" s="24">
        <v>90000</v>
      </c>
      <c r="D13" s="24">
        <v>30000</v>
      </c>
    </row>
    <row r="14" spans="1:4" ht="15" customHeight="1" x14ac:dyDescent="0.25">
      <c r="A14" t="s">
        <v>338</v>
      </c>
      <c r="B14" s="27">
        <v>0.1</v>
      </c>
      <c r="C14" s="27">
        <v>0.04</v>
      </c>
      <c r="D14" s="27">
        <v>-0.03</v>
      </c>
    </row>
    <row r="15" spans="1:4" ht="15" customHeight="1" x14ac:dyDescent="0.25">
      <c r="A15" t="s">
        <v>339</v>
      </c>
      <c r="B15" s="24">
        <v>200000</v>
      </c>
      <c r="C15" s="24">
        <v>100000</v>
      </c>
      <c r="D15" s="24">
        <v>35000</v>
      </c>
    </row>
    <row r="17" spans="1:4" ht="15" customHeight="1" x14ac:dyDescent="0.25">
      <c r="A17" s="12" t="s">
        <v>340</v>
      </c>
    </row>
    <row r="18" spans="1:4" ht="15" customHeight="1" x14ac:dyDescent="0.25">
      <c r="A18" t="s">
        <v>341</v>
      </c>
      <c r="B18" s="24">
        <v>700000</v>
      </c>
      <c r="C18" s="24">
        <v>500000</v>
      </c>
      <c r="D18" s="24">
        <v>350000</v>
      </c>
    </row>
    <row r="19" spans="1:4" ht="15" customHeight="1" x14ac:dyDescent="0.25">
      <c r="A19" t="s">
        <v>342</v>
      </c>
      <c r="B19" s="24">
        <v>400000</v>
      </c>
      <c r="C19" s="24">
        <v>250000</v>
      </c>
      <c r="D19" s="24">
        <v>100000</v>
      </c>
    </row>
    <row r="20" spans="1:4" ht="15" customHeight="1" x14ac:dyDescent="0.25">
      <c r="A20" t="s">
        <v>343</v>
      </c>
      <c r="B20" s="27">
        <v>0.55000000000000004</v>
      </c>
      <c r="C20" s="27">
        <v>0.6</v>
      </c>
      <c r="D20" s="27">
        <v>0.65</v>
      </c>
    </row>
    <row r="22" spans="1:4" ht="15" customHeight="1" x14ac:dyDescent="0.25">
      <c r="A22" s="12" t="s">
        <v>344</v>
      </c>
    </row>
    <row r="23" spans="1:4" ht="15" customHeight="1" x14ac:dyDescent="0.25">
      <c r="A23" t="s">
        <v>345</v>
      </c>
      <c r="B23" s="23">
        <f>Indicadores!D27</f>
        <v>438141</v>
      </c>
      <c r="C23" s="23">
        <f>Indicadores!D27</f>
        <v>438141</v>
      </c>
      <c r="D23" s="23">
        <f>Indicadores!D27</f>
        <v>438141</v>
      </c>
    </row>
    <row r="24" spans="1:4" ht="15" customHeight="1" x14ac:dyDescent="0.25">
      <c r="A24" t="s">
        <v>346</v>
      </c>
      <c r="B24" s="27">
        <v>-0.15</v>
      </c>
      <c r="C24" s="27">
        <v>-0.1</v>
      </c>
      <c r="D24" s="27">
        <v>0</v>
      </c>
    </row>
    <row r="25" spans="1:4" ht="15" customHeight="1" x14ac:dyDescent="0.25">
      <c r="A25" t="s">
        <v>347</v>
      </c>
      <c r="B25" s="27">
        <v>-0.05</v>
      </c>
      <c r="C25" s="27">
        <v>0.05</v>
      </c>
      <c r="D25" s="27">
        <v>0.1</v>
      </c>
    </row>
    <row r="26" spans="1:4" ht="15" customHeight="1" x14ac:dyDescent="0.25">
      <c r="A26" t="s">
        <v>348</v>
      </c>
      <c r="B26" s="27">
        <v>0.35</v>
      </c>
      <c r="C26" s="27">
        <v>0.4</v>
      </c>
      <c r="D26" s="27">
        <v>0.45</v>
      </c>
    </row>
    <row r="28" spans="1:4" ht="15" customHeight="1" x14ac:dyDescent="0.25">
      <c r="A28" s="12" t="s">
        <v>349</v>
      </c>
    </row>
    <row r="29" spans="1:4" ht="15" customHeight="1" x14ac:dyDescent="0.25">
      <c r="A29" t="s">
        <v>350</v>
      </c>
      <c r="B29" s="24">
        <v>200000</v>
      </c>
      <c r="C29" s="24">
        <v>150000</v>
      </c>
      <c r="D29" s="24">
        <v>50000</v>
      </c>
    </row>
    <row r="30" spans="1:4" ht="15" customHeight="1" x14ac:dyDescent="0.25">
      <c r="A30" t="s">
        <v>351</v>
      </c>
      <c r="B30" s="24">
        <v>300000</v>
      </c>
      <c r="C30" s="24">
        <v>200000</v>
      </c>
      <c r="D30" s="24">
        <v>100000</v>
      </c>
    </row>
    <row r="32" spans="1:4" ht="15" customHeight="1" x14ac:dyDescent="0.25">
      <c r="A32" s="12" t="s">
        <v>352</v>
      </c>
    </row>
    <row r="33" spans="1:4" ht="15" customHeight="1" x14ac:dyDescent="0.25">
      <c r="A33" t="s">
        <v>353</v>
      </c>
      <c r="B33" s="24">
        <v>-180000</v>
      </c>
      <c r="C33" s="24">
        <v>-200000</v>
      </c>
      <c r="D33" s="24">
        <v>-280000</v>
      </c>
    </row>
    <row r="34" spans="1:4" ht="15" customHeight="1" x14ac:dyDescent="0.25">
      <c r="A34" t="s">
        <v>354</v>
      </c>
      <c r="B34" s="24">
        <v>-150000</v>
      </c>
      <c r="C34" s="24">
        <v>-150000</v>
      </c>
      <c r="D34" s="24">
        <v>-250000</v>
      </c>
    </row>
    <row r="36" spans="1:4" ht="15" customHeight="1" x14ac:dyDescent="0.25">
      <c r="A36" s="12" t="s">
        <v>355</v>
      </c>
    </row>
    <row r="37" spans="1:4" ht="15" customHeight="1" x14ac:dyDescent="0.25">
      <c r="A37" t="s">
        <v>356</v>
      </c>
      <c r="B37" s="23">
        <f>BP!D6</f>
        <v>25557</v>
      </c>
      <c r="C37" s="23">
        <f>BP!D6</f>
        <v>25557</v>
      </c>
      <c r="D37" s="23">
        <f>BP!D6</f>
        <v>25557</v>
      </c>
    </row>
    <row r="38" spans="1:4" ht="15" customHeight="1" x14ac:dyDescent="0.25">
      <c r="A38" t="s">
        <v>357</v>
      </c>
      <c r="B38" s="24">
        <v>0</v>
      </c>
      <c r="C38" s="24">
        <v>0</v>
      </c>
      <c r="D38" s="24">
        <v>0</v>
      </c>
    </row>
    <row r="40" spans="1:4" ht="15" customHeight="1" x14ac:dyDescent="0.25">
      <c r="A40" s="12" t="s">
        <v>358</v>
      </c>
    </row>
    <row r="41" spans="1:4" ht="15" customHeight="1" x14ac:dyDescent="0.25">
      <c r="A41" t="s">
        <v>359</v>
      </c>
      <c r="B41" s="28">
        <v>5.8</v>
      </c>
      <c r="C41" s="28">
        <v>5.8</v>
      </c>
      <c r="D41" s="28">
        <v>5.8</v>
      </c>
    </row>
    <row r="43" spans="1:4" ht="15" customHeight="1" x14ac:dyDescent="0.25">
      <c r="A43" s="3" t="s">
        <v>122</v>
      </c>
    </row>
    <row r="44" spans="1:4" ht="15" customHeight="1" x14ac:dyDescent="0.25">
      <c r="A44" s="73" t="s">
        <v>360</v>
      </c>
      <c r="B44" s="70"/>
      <c r="C44" s="70"/>
      <c r="D44" s="70"/>
    </row>
    <row r="45" spans="1:4" ht="15" customHeight="1" x14ac:dyDescent="0.25">
      <c r="A45" s="73" t="s">
        <v>634</v>
      </c>
      <c r="B45" s="70"/>
      <c r="C45" s="70"/>
      <c r="D45" s="70"/>
    </row>
    <row r="46" spans="1:4" ht="15" customHeight="1" x14ac:dyDescent="0.25">
      <c r="A46" s="73" t="s">
        <v>361</v>
      </c>
      <c r="B46" s="70"/>
      <c r="C46" s="70"/>
      <c r="D46" s="70"/>
    </row>
    <row r="47" spans="1:4" ht="15" customHeight="1" x14ac:dyDescent="0.25">
      <c r="A47" s="73" t="s">
        <v>362</v>
      </c>
      <c r="B47" s="70"/>
      <c r="C47" s="70"/>
      <c r="D47" s="70"/>
    </row>
    <row r="48" spans="1:4" ht="27.75" customHeight="1" x14ac:dyDescent="0.25">
      <c r="A48" s="73" t="s">
        <v>363</v>
      </c>
      <c r="B48" s="70"/>
      <c r="C48" s="70"/>
      <c r="D48" s="70"/>
    </row>
  </sheetData>
  <mergeCells count="7">
    <mergeCell ref="A1:D1"/>
    <mergeCell ref="A45:D45"/>
    <mergeCell ref="A48:D48"/>
    <mergeCell ref="A2:D2"/>
    <mergeCell ref="A47:D47"/>
    <mergeCell ref="A46:D46"/>
    <mergeCell ref="A44:D44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8"/>
  <sheetViews>
    <sheetView zoomScaleNormal="100" workbookViewId="0">
      <selection activeCell="B5" sqref="B5"/>
    </sheetView>
  </sheetViews>
  <sheetFormatPr defaultColWidth="8.7109375" defaultRowHeight="15" x14ac:dyDescent="0.25"/>
  <cols>
    <col min="1" max="1" width="50" customWidth="1"/>
    <col min="2" max="7" width="14" customWidth="1"/>
  </cols>
  <sheetData>
    <row r="1" spans="1:7" ht="15" customHeight="1" x14ac:dyDescent="0.25">
      <c r="A1" s="74" t="s">
        <v>364</v>
      </c>
      <c r="B1" s="70"/>
      <c r="C1" s="70"/>
      <c r="D1" s="70"/>
      <c r="E1" s="70"/>
      <c r="F1" s="70"/>
      <c r="G1" s="70"/>
    </row>
    <row r="2" spans="1:7" ht="15" customHeight="1" x14ac:dyDescent="0.25">
      <c r="A2" s="76" t="s">
        <v>365</v>
      </c>
      <c r="B2" s="70"/>
      <c r="C2" s="70"/>
      <c r="D2" s="70"/>
      <c r="E2" s="70"/>
      <c r="F2" s="70"/>
      <c r="G2" s="70"/>
    </row>
    <row r="3" spans="1:7" ht="15" customHeight="1" x14ac:dyDescent="0.25">
      <c r="B3" s="77" t="s">
        <v>366</v>
      </c>
      <c r="C3" s="70"/>
      <c r="D3" s="70"/>
      <c r="E3" s="77" t="s">
        <v>367</v>
      </c>
      <c r="F3" s="70"/>
      <c r="G3" s="70"/>
    </row>
    <row r="4" spans="1:7" ht="15" customHeight="1" x14ac:dyDescent="0.25">
      <c r="A4" s="10" t="s">
        <v>69</v>
      </c>
      <c r="B4" s="10" t="s">
        <v>327</v>
      </c>
      <c r="C4" s="10" t="s">
        <v>328</v>
      </c>
      <c r="D4" s="10" t="s">
        <v>368</v>
      </c>
      <c r="E4" s="10" t="s">
        <v>327</v>
      </c>
      <c r="F4" s="10" t="s">
        <v>328</v>
      </c>
      <c r="G4" s="10" t="s">
        <v>368</v>
      </c>
    </row>
    <row r="6" spans="1:7" ht="15" customHeight="1" x14ac:dyDescent="0.25">
      <c r="A6" s="12" t="s">
        <v>369</v>
      </c>
    </row>
    <row r="7" spans="1:7" ht="15" customHeight="1" x14ac:dyDescent="0.25">
      <c r="A7" t="s">
        <v>370</v>
      </c>
      <c r="B7" s="19">
        <f>'Premissas Runway'!B9*(1+'Premissas Runway'!B12)</f>
        <v>532571.55000000005</v>
      </c>
      <c r="C7" s="19">
        <f>'Premissas Runway'!C9*(1+'Premissas Runway'!C12)</f>
        <v>506977.33</v>
      </c>
      <c r="D7" s="19">
        <f>'Premissas Runway'!D9*(1+'Premissas Runway'!D12)</f>
        <v>452113.55</v>
      </c>
      <c r="E7" s="19">
        <f>B7*(1+'Premissas Runway'!B14)</f>
        <v>585828.70500000007</v>
      </c>
      <c r="F7" s="19">
        <f>C7*(1+'Premissas Runway'!C14)</f>
        <v>527256.42320000008</v>
      </c>
      <c r="G7" s="19">
        <f>D7*(1+'Premissas Runway'!D14)</f>
        <v>438550.14350000001</v>
      </c>
    </row>
    <row r="8" spans="1:7" ht="15" customHeight="1" x14ac:dyDescent="0.25">
      <c r="A8" t="s">
        <v>371</v>
      </c>
      <c r="B8" s="23">
        <f>'Premissas Runway'!B13</f>
        <v>180000</v>
      </c>
      <c r="C8" s="23">
        <f>'Premissas Runway'!C13</f>
        <v>90000</v>
      </c>
      <c r="D8" s="23">
        <f>'Premissas Runway'!D13</f>
        <v>30000</v>
      </c>
      <c r="E8" s="23">
        <f>'Premissas Runway'!B15</f>
        <v>200000</v>
      </c>
      <c r="F8" s="23">
        <f>'Premissas Runway'!C15</f>
        <v>100000</v>
      </c>
      <c r="G8" s="23">
        <f>'Premissas Runway'!D15</f>
        <v>35000</v>
      </c>
    </row>
    <row r="9" spans="1:7" ht="15" customHeight="1" x14ac:dyDescent="0.25">
      <c r="A9" t="s">
        <v>372</v>
      </c>
      <c r="B9" s="23">
        <f>'Premissas Runway'!B18</f>
        <v>700000</v>
      </c>
      <c r="C9" s="23">
        <f>'Premissas Runway'!C18</f>
        <v>500000</v>
      </c>
      <c r="D9" s="23">
        <f>'Premissas Runway'!D18</f>
        <v>350000</v>
      </c>
      <c r="E9" s="23">
        <f>'Premissas Runway'!B19</f>
        <v>400000</v>
      </c>
      <c r="F9" s="23">
        <f>'Premissas Runway'!C19</f>
        <v>250000</v>
      </c>
      <c r="G9" s="23">
        <f>'Premissas Runway'!D19</f>
        <v>100000</v>
      </c>
    </row>
    <row r="10" spans="1:7" ht="15" customHeight="1" x14ac:dyDescent="0.25">
      <c r="A10" s="12" t="s">
        <v>373</v>
      </c>
      <c r="B10" s="14">
        <f t="shared" ref="B10:G10" si="0">B7+B8+B9</f>
        <v>1412571.55</v>
      </c>
      <c r="C10" s="14">
        <f t="shared" si="0"/>
        <v>1096977.33</v>
      </c>
      <c r="D10" s="14">
        <f t="shared" si="0"/>
        <v>832113.55</v>
      </c>
      <c r="E10" s="14">
        <f t="shared" si="0"/>
        <v>1185828.7050000001</v>
      </c>
      <c r="F10" s="14">
        <f t="shared" si="0"/>
        <v>877256.42320000008</v>
      </c>
      <c r="G10" s="14">
        <f t="shared" si="0"/>
        <v>573550.14350000001</v>
      </c>
    </row>
    <row r="11" spans="1:7" ht="15" customHeight="1" x14ac:dyDescent="0.25">
      <c r="A11" t="s">
        <v>374</v>
      </c>
      <c r="B11" s="19">
        <f>-'Premissas Runway'!B23*(1+'Premissas Runway'!B24)</f>
        <v>-372419.85</v>
      </c>
      <c r="C11" s="19">
        <f>-'Premissas Runway'!C23*(1+'Premissas Runway'!C24)</f>
        <v>-394326.9</v>
      </c>
      <c r="D11" s="19">
        <f>-'Premissas Runway'!D23*(1+'Premissas Runway'!D24)</f>
        <v>-438141</v>
      </c>
      <c r="E11" s="19">
        <f>B11*(1+'Premissas Runway'!B25)</f>
        <v>-353798.85749999998</v>
      </c>
      <c r="F11" s="19">
        <f>C11*(1+'Premissas Runway'!C25)</f>
        <v>-414043.24500000005</v>
      </c>
      <c r="G11" s="19">
        <f>D11*(1+'Premissas Runway'!D25)</f>
        <v>-481955.10000000003</v>
      </c>
    </row>
    <row r="12" spans="1:7" ht="15" customHeight="1" x14ac:dyDescent="0.25">
      <c r="A12" t="s">
        <v>375</v>
      </c>
      <c r="B12" s="19">
        <f>-B7*'Premissas Runway'!B26</f>
        <v>-186400.04250000001</v>
      </c>
      <c r="C12" s="19">
        <f>-C7*'Premissas Runway'!C26</f>
        <v>-202790.93200000003</v>
      </c>
      <c r="D12" s="19">
        <f>-D7*'Premissas Runway'!D26</f>
        <v>-203451.0975</v>
      </c>
      <c r="E12" s="19">
        <f>-E7*'Premissas Runway'!B26</f>
        <v>-205040.04675000001</v>
      </c>
      <c r="F12" s="19">
        <f>-F7*'Premissas Runway'!C26</f>
        <v>-210902.56928000005</v>
      </c>
      <c r="G12" s="19">
        <f>-G7*'Premissas Runway'!D26</f>
        <v>-197347.564575</v>
      </c>
    </row>
    <row r="13" spans="1:7" ht="15" customHeight="1" x14ac:dyDescent="0.25">
      <c r="A13" t="s">
        <v>376</v>
      </c>
      <c r="B13" s="19">
        <f>-B9*'Premissas Runway'!B20</f>
        <v>-385000.00000000006</v>
      </c>
      <c r="C13" s="19">
        <f>-C9*'Premissas Runway'!C20</f>
        <v>-300000</v>
      </c>
      <c r="D13" s="19">
        <f>-D9*'Premissas Runway'!D20</f>
        <v>-227500</v>
      </c>
      <c r="E13" s="19">
        <f>-E9*'Premissas Runway'!B20</f>
        <v>-220000.00000000003</v>
      </c>
      <c r="F13" s="19">
        <f>-F9*'Premissas Runway'!C20</f>
        <v>-150000</v>
      </c>
      <c r="G13" s="19">
        <f>-G9*'Premissas Runway'!D20</f>
        <v>-65000</v>
      </c>
    </row>
    <row r="14" spans="1:7" ht="15" customHeight="1" x14ac:dyDescent="0.25">
      <c r="A14" s="12" t="s">
        <v>377</v>
      </c>
      <c r="B14" s="14">
        <f t="shared" ref="B14:G14" si="1">B10+B11+B12+B13</f>
        <v>468751.65750000003</v>
      </c>
      <c r="C14" s="14">
        <f t="shared" si="1"/>
        <v>199859.49800000002</v>
      </c>
      <c r="D14" s="14">
        <f t="shared" si="1"/>
        <v>-36978.547499999957</v>
      </c>
      <c r="E14" s="14">
        <f t="shared" si="1"/>
        <v>406989.80075000017</v>
      </c>
      <c r="F14" s="14">
        <f t="shared" si="1"/>
        <v>102310.60891999997</v>
      </c>
      <c r="G14" s="14">
        <f t="shared" si="1"/>
        <v>-170752.52107500003</v>
      </c>
    </row>
    <row r="15" spans="1:7" ht="15" customHeight="1" x14ac:dyDescent="0.25">
      <c r="A15" t="s">
        <v>378</v>
      </c>
      <c r="B15" s="23">
        <f>'Premissas Runway'!B33</f>
        <v>-180000</v>
      </c>
      <c r="C15" s="23">
        <f>'Premissas Runway'!C33</f>
        <v>-200000</v>
      </c>
      <c r="D15" s="23">
        <f>'Premissas Runway'!D33</f>
        <v>-280000</v>
      </c>
      <c r="E15" s="23">
        <f>'Premissas Runway'!B34</f>
        <v>-150000</v>
      </c>
      <c r="F15" s="23">
        <f>'Premissas Runway'!C34</f>
        <v>-150000</v>
      </c>
      <c r="G15" s="23">
        <f>'Premissas Runway'!D34</f>
        <v>-250000</v>
      </c>
    </row>
    <row r="16" spans="1:7" ht="15" customHeight="1" x14ac:dyDescent="0.25">
      <c r="A16" s="20" t="s">
        <v>379</v>
      </c>
      <c r="B16" s="15">
        <f t="shared" ref="B16:G16" si="2">B14+B15</f>
        <v>288751.65750000003</v>
      </c>
      <c r="C16" s="15">
        <f t="shared" si="2"/>
        <v>-140.50199999997858</v>
      </c>
      <c r="D16" s="15">
        <f t="shared" si="2"/>
        <v>-316978.54749999999</v>
      </c>
      <c r="E16" s="15">
        <f t="shared" si="2"/>
        <v>256989.80075000017</v>
      </c>
      <c r="F16" s="15">
        <f t="shared" si="2"/>
        <v>-47689.39108000003</v>
      </c>
      <c r="G16" s="15">
        <f t="shared" si="2"/>
        <v>-420752.52107500006</v>
      </c>
    </row>
    <row r="18" spans="1:7" ht="15" customHeight="1" x14ac:dyDescent="0.25">
      <c r="A18" s="12" t="s">
        <v>380</v>
      </c>
    </row>
    <row r="19" spans="1:7" ht="15" customHeight="1" x14ac:dyDescent="0.25">
      <c r="A19" t="s">
        <v>381</v>
      </c>
      <c r="B19" s="23">
        <f>'Premissas Runway'!B37</f>
        <v>25557</v>
      </c>
      <c r="C19" s="23">
        <f>'Premissas Runway'!C37</f>
        <v>25557</v>
      </c>
      <c r="D19" s="23">
        <f>'Premissas Runway'!D37</f>
        <v>25557</v>
      </c>
    </row>
    <row r="20" spans="1:7" ht="15" customHeight="1" x14ac:dyDescent="0.25">
      <c r="A20" t="s">
        <v>382</v>
      </c>
      <c r="B20" s="23">
        <f>'Premissas Runway'!B38</f>
        <v>0</v>
      </c>
      <c r="C20" s="23">
        <f>'Premissas Runway'!C38</f>
        <v>0</v>
      </c>
      <c r="D20" s="23">
        <f>'Premissas Runway'!D38</f>
        <v>0</v>
      </c>
      <c r="E20" s="23">
        <f>'Premissas Runway'!B38</f>
        <v>0</v>
      </c>
      <c r="F20" s="23">
        <f>'Premissas Runway'!C38</f>
        <v>0</v>
      </c>
      <c r="G20" s="23">
        <f>'Premissas Runway'!D38</f>
        <v>0</v>
      </c>
    </row>
    <row r="21" spans="1:7" ht="15" customHeight="1" x14ac:dyDescent="0.25">
      <c r="A21" t="s">
        <v>383</v>
      </c>
      <c r="B21" s="19">
        <f t="shared" ref="B21:G21" si="3">B14+B15</f>
        <v>288751.65750000003</v>
      </c>
      <c r="C21" s="19">
        <f t="shared" si="3"/>
        <v>-140.50199999997858</v>
      </c>
      <c r="D21" s="19">
        <f t="shared" si="3"/>
        <v>-316978.54749999999</v>
      </c>
      <c r="E21" s="19">
        <f t="shared" si="3"/>
        <v>256989.80075000017</v>
      </c>
      <c r="F21" s="19">
        <f t="shared" si="3"/>
        <v>-47689.39108000003</v>
      </c>
      <c r="G21" s="19">
        <f t="shared" si="3"/>
        <v>-420752.52107500006</v>
      </c>
    </row>
    <row r="22" spans="1:7" ht="15" customHeight="1" x14ac:dyDescent="0.25">
      <c r="A22" t="s">
        <v>384</v>
      </c>
      <c r="B22" s="23">
        <f>-'Premissas Runway'!B29</f>
        <v>-200000</v>
      </c>
      <c r="C22" s="23">
        <f>-'Premissas Runway'!C29</f>
        <v>-150000</v>
      </c>
      <c r="D22" s="23">
        <f>-'Premissas Runway'!D29</f>
        <v>-50000</v>
      </c>
      <c r="E22" s="23">
        <f>-'Premissas Runway'!B30</f>
        <v>-300000</v>
      </c>
      <c r="F22" s="23">
        <f>-'Premissas Runway'!C30</f>
        <v>-200000</v>
      </c>
      <c r="G22" s="23">
        <f>-'Premissas Runway'!D30</f>
        <v>-100000</v>
      </c>
    </row>
    <row r="23" spans="1:7" ht="15" customHeight="1" x14ac:dyDescent="0.25">
      <c r="A23" s="20" t="s">
        <v>385</v>
      </c>
      <c r="B23" s="15">
        <f>B19+B20+B21+B22</f>
        <v>114308.65750000003</v>
      </c>
      <c r="C23" s="15">
        <f>C19+C20+C21+C22</f>
        <v>-124583.50199999998</v>
      </c>
      <c r="D23" s="15">
        <f>D19+D20+D21+D22</f>
        <v>-341421.54749999999</v>
      </c>
      <c r="E23" s="15">
        <f>B23+E20+E21+E22</f>
        <v>71298.4582500002</v>
      </c>
      <c r="F23" s="15">
        <f>C23+F20+F21+F22</f>
        <v>-372272.89308000001</v>
      </c>
      <c r="G23" s="15">
        <f>D23+G20+G21+G22</f>
        <v>-862174.06857500004</v>
      </c>
    </row>
    <row r="25" spans="1:7" ht="15" customHeight="1" x14ac:dyDescent="0.25">
      <c r="A25" s="12" t="s">
        <v>386</v>
      </c>
    </row>
    <row r="26" spans="1:7" ht="15" customHeight="1" x14ac:dyDescent="0.25">
      <c r="A26" t="s">
        <v>387</v>
      </c>
      <c r="B26" s="21">
        <f t="shared" ref="B26:G26" si="4">IFERROR(-B11/B7,"-")</f>
        <v>0.69928603959411639</v>
      </c>
      <c r="C26" s="21">
        <f t="shared" si="4"/>
        <v>0.7777998673037313</v>
      </c>
      <c r="D26" s="21">
        <f t="shared" si="4"/>
        <v>0.96909504260600021</v>
      </c>
      <c r="E26" s="21">
        <f t="shared" si="4"/>
        <v>0.60392885237673688</v>
      </c>
      <c r="F26" s="21">
        <f t="shared" si="4"/>
        <v>0.78527871218165179</v>
      </c>
      <c r="G26" s="21">
        <f t="shared" si="4"/>
        <v>1.098973759656289</v>
      </c>
    </row>
    <row r="27" spans="1:7" ht="15" customHeight="1" x14ac:dyDescent="0.25">
      <c r="A27" t="s">
        <v>388</v>
      </c>
      <c r="B27" s="19">
        <f t="shared" ref="B27:G27" si="5">B14-B9-B13</f>
        <v>153751.65750000009</v>
      </c>
      <c r="C27" s="19">
        <f t="shared" si="5"/>
        <v>-140.50199999997858</v>
      </c>
      <c r="D27" s="19">
        <f t="shared" si="5"/>
        <v>-159478.54749999999</v>
      </c>
      <c r="E27" s="19">
        <f t="shared" si="5"/>
        <v>226989.8007500002</v>
      </c>
      <c r="F27" s="19">
        <f t="shared" si="5"/>
        <v>2310.6089199999697</v>
      </c>
      <c r="G27" s="19">
        <f t="shared" si="5"/>
        <v>-205752.52107500006</v>
      </c>
    </row>
    <row r="28" spans="1:7" ht="15" customHeight="1" x14ac:dyDescent="0.25">
      <c r="A28" t="s">
        <v>389</v>
      </c>
      <c r="B28" s="21">
        <f t="shared" ref="B28:G28" si="6">IFERROR(B27/B7,"-")</f>
        <v>0.28869671596239055</v>
      </c>
      <c r="C28" s="21">
        <f t="shared" si="6"/>
        <v>-2.7713665224434901E-4</v>
      </c>
      <c r="D28" s="21">
        <f t="shared" si="6"/>
        <v>-0.35274003068476933</v>
      </c>
      <c r="E28" s="21">
        <f t="shared" si="6"/>
        <v>0.38746787040761371</v>
      </c>
      <c r="F28" s="21">
        <f t="shared" si="6"/>
        <v>4.3823248391674959E-3</v>
      </c>
      <c r="G28" s="21">
        <f t="shared" si="6"/>
        <v>-0.46916532607405259</v>
      </c>
    </row>
    <row r="29" spans="1:7" ht="15" customHeight="1" x14ac:dyDescent="0.25">
      <c r="A29" t="s">
        <v>390</v>
      </c>
      <c r="B29" s="29">
        <f>IFERROR('Premissas Runway'!B29/B9,"-")</f>
        <v>0.2857142857142857</v>
      </c>
      <c r="C29" s="29">
        <f>IFERROR('Premissas Runway'!C29/C9,"-")</f>
        <v>0.3</v>
      </c>
      <c r="D29" s="29">
        <f>IFERROR('Premissas Runway'!D29/D9,"-")</f>
        <v>0.14285714285714285</v>
      </c>
      <c r="E29" s="29">
        <f>IFERROR('Premissas Runway'!B30/E9,"-")</f>
        <v>0.75</v>
      </c>
      <c r="F29" s="29">
        <f>IFERROR('Premissas Runway'!C30/F9,"-")</f>
        <v>0.8</v>
      </c>
      <c r="G29" s="29">
        <f>IFERROR('Premissas Runway'!D30/G9,"-")</f>
        <v>1</v>
      </c>
    </row>
    <row r="30" spans="1:7" ht="15" customHeight="1" x14ac:dyDescent="0.25">
      <c r="A30" t="s">
        <v>391</v>
      </c>
      <c r="B30" s="19">
        <f t="shared" ref="B30:G30" si="7">B23</f>
        <v>114308.65750000003</v>
      </c>
      <c r="C30" s="19">
        <f t="shared" si="7"/>
        <v>-124583.50199999998</v>
      </c>
      <c r="D30" s="19">
        <f t="shared" si="7"/>
        <v>-341421.54749999999</v>
      </c>
      <c r="E30" s="19">
        <f t="shared" si="7"/>
        <v>71298.4582500002</v>
      </c>
      <c r="F30" s="19">
        <f t="shared" si="7"/>
        <v>-372272.89308000001</v>
      </c>
      <c r="G30" s="19">
        <f t="shared" si="7"/>
        <v>-862174.06857500004</v>
      </c>
    </row>
    <row r="31" spans="1:7" ht="15" customHeight="1" x14ac:dyDescent="0.25">
      <c r="A31" t="s">
        <v>392</v>
      </c>
      <c r="B31" s="19">
        <f t="shared" ref="B31:G31" si="8">(-B11-B12-B15)/12</f>
        <v>61568.324374999997</v>
      </c>
      <c r="C31" s="19">
        <f t="shared" si="8"/>
        <v>66426.486000000004</v>
      </c>
      <c r="D31" s="19">
        <f t="shared" si="8"/>
        <v>76799.341458333336</v>
      </c>
      <c r="E31" s="19">
        <f t="shared" si="8"/>
        <v>59069.908687499999</v>
      </c>
      <c r="F31" s="19">
        <f t="shared" si="8"/>
        <v>64578.817856666668</v>
      </c>
      <c r="G31" s="19">
        <f t="shared" si="8"/>
        <v>77441.888714583343</v>
      </c>
    </row>
    <row r="32" spans="1:7" ht="15" customHeight="1" x14ac:dyDescent="0.25">
      <c r="A32" t="s">
        <v>393</v>
      </c>
      <c r="B32" s="30">
        <f t="shared" ref="B32:G32" si="9">IFERROR(B30/B31,"-")</f>
        <v>1.8566147229177379</v>
      </c>
      <c r="C32" s="30">
        <f t="shared" si="9"/>
        <v>-1.8755094466384985</v>
      </c>
      <c r="D32" s="30">
        <f t="shared" si="9"/>
        <v>-4.4456311866324345</v>
      </c>
      <c r="E32" s="30">
        <f t="shared" si="9"/>
        <v>1.2070182574209385</v>
      </c>
      <c r="F32" s="30">
        <f t="shared" si="9"/>
        <v>-5.7646284871033631</v>
      </c>
      <c r="G32" s="30">
        <f t="shared" si="9"/>
        <v>-11.133174602088975</v>
      </c>
    </row>
    <row r="34" spans="1:7" ht="15" customHeight="1" x14ac:dyDescent="0.25">
      <c r="A34" s="3" t="s">
        <v>122</v>
      </c>
    </row>
    <row r="35" spans="1:7" ht="15" customHeight="1" x14ac:dyDescent="0.25">
      <c r="A35" s="73" t="s">
        <v>394</v>
      </c>
      <c r="B35" s="70"/>
      <c r="C35" s="70"/>
      <c r="D35" s="70"/>
      <c r="E35" s="70"/>
      <c r="F35" s="70"/>
      <c r="G35" s="70"/>
    </row>
    <row r="36" spans="1:7" ht="15" customHeight="1" x14ac:dyDescent="0.25">
      <c r="A36" s="73" t="s">
        <v>395</v>
      </c>
      <c r="B36" s="70"/>
      <c r="C36" s="70"/>
      <c r="D36" s="70"/>
      <c r="E36" s="70"/>
      <c r="F36" s="70"/>
      <c r="G36" s="70"/>
    </row>
    <row r="37" spans="1:7" ht="15" customHeight="1" x14ac:dyDescent="0.25">
      <c r="A37" s="73" t="s">
        <v>396</v>
      </c>
      <c r="B37" s="70"/>
      <c r="C37" s="70"/>
      <c r="D37" s="70"/>
      <c r="E37" s="70"/>
      <c r="F37" s="70"/>
      <c r="G37" s="70"/>
    </row>
    <row r="38" spans="1:7" ht="15" customHeight="1" x14ac:dyDescent="0.25">
      <c r="A38" s="73" t="s">
        <v>397</v>
      </c>
      <c r="B38" s="70"/>
      <c r="C38" s="70"/>
      <c r="D38" s="70"/>
      <c r="E38" s="70"/>
      <c r="F38" s="70"/>
      <c r="G38" s="70"/>
    </row>
  </sheetData>
  <mergeCells count="8">
    <mergeCell ref="A36:G36"/>
    <mergeCell ref="B3:D3"/>
    <mergeCell ref="A1:G1"/>
    <mergeCell ref="A35:G35"/>
    <mergeCell ref="A38:G38"/>
    <mergeCell ref="A2:G2"/>
    <mergeCell ref="E3:G3"/>
    <mergeCell ref="A37:G37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7"/>
  <sheetViews>
    <sheetView topLeftCell="A28" zoomScaleNormal="100" workbookViewId="0">
      <selection sqref="A1:D1"/>
    </sheetView>
  </sheetViews>
  <sheetFormatPr defaultColWidth="8.7109375" defaultRowHeight="15" x14ac:dyDescent="0.25"/>
  <cols>
    <col min="1" max="1" width="45" customWidth="1"/>
    <col min="2" max="4" width="22" customWidth="1"/>
  </cols>
  <sheetData>
    <row r="1" spans="1:4" ht="15" customHeight="1" x14ac:dyDescent="0.25">
      <c r="A1" s="74" t="s">
        <v>398</v>
      </c>
      <c r="B1" s="70"/>
      <c r="C1" s="70"/>
      <c r="D1" s="70"/>
    </row>
    <row r="2" spans="1:4" ht="15" customHeight="1" x14ac:dyDescent="0.25">
      <c r="A2" s="10" t="s">
        <v>399</v>
      </c>
      <c r="B2" s="10" t="s">
        <v>327</v>
      </c>
      <c r="C2" s="10" t="s">
        <v>328</v>
      </c>
      <c r="D2" s="10" t="s">
        <v>329</v>
      </c>
    </row>
    <row r="4" spans="1:4" ht="15" customHeight="1" x14ac:dyDescent="0.25">
      <c r="A4" s="12" t="s">
        <v>400</v>
      </c>
    </row>
    <row r="5" spans="1:4" ht="15" customHeight="1" x14ac:dyDescent="0.25">
      <c r="A5" t="s">
        <v>401</v>
      </c>
      <c r="B5" s="23">
        <f>'Modelo Runway'!B16</f>
        <v>288751.65750000003</v>
      </c>
      <c r="C5" s="23">
        <f>'Modelo Runway'!C16</f>
        <v>-140.50199999997858</v>
      </c>
      <c r="D5" s="23">
        <f>'Modelo Runway'!D16</f>
        <v>-316978.54749999999</v>
      </c>
    </row>
    <row r="6" spans="1:4" ht="15" customHeight="1" x14ac:dyDescent="0.25">
      <c r="A6" t="s">
        <v>402</v>
      </c>
      <c r="B6" s="23">
        <f>'Modelo Runway'!E16</f>
        <v>256989.80075000017</v>
      </c>
      <c r="C6" s="23">
        <f>'Modelo Runway'!F16</f>
        <v>-47689.39108000003</v>
      </c>
      <c r="D6" s="23">
        <f>'Modelo Runway'!G16</f>
        <v>-420752.52107500006</v>
      </c>
    </row>
    <row r="7" spans="1:4" ht="15" customHeight="1" x14ac:dyDescent="0.25">
      <c r="A7" s="12" t="s">
        <v>403</v>
      </c>
      <c r="B7" s="14">
        <f>B5+B6</f>
        <v>545741.45825000014</v>
      </c>
      <c r="C7" s="14">
        <f>C5+C6</f>
        <v>-47829.893080000009</v>
      </c>
      <c r="D7" s="14">
        <f>D5+D6</f>
        <v>-737731.06857500004</v>
      </c>
    </row>
    <row r="9" spans="1:4" ht="15" customHeight="1" x14ac:dyDescent="0.25">
      <c r="A9" s="12" t="s">
        <v>404</v>
      </c>
    </row>
    <row r="10" spans="1:4" ht="15" customHeight="1" x14ac:dyDescent="0.25">
      <c r="A10" t="s">
        <v>405</v>
      </c>
      <c r="B10" s="23">
        <f>'Modelo Runway'!B23</f>
        <v>114308.65750000003</v>
      </c>
      <c r="C10" s="23">
        <f>'Modelo Runway'!C23</f>
        <v>-124583.50199999998</v>
      </c>
      <c r="D10" s="23">
        <f>'Modelo Runway'!D23</f>
        <v>-341421.54749999999</v>
      </c>
    </row>
    <row r="11" spans="1:4" ht="15" customHeight="1" x14ac:dyDescent="0.25">
      <c r="A11" t="s">
        <v>406</v>
      </c>
      <c r="B11" s="23">
        <f>'Modelo Runway'!E23</f>
        <v>71298.4582500002</v>
      </c>
      <c r="C11" s="23">
        <f>'Modelo Runway'!F23</f>
        <v>-372272.89308000001</v>
      </c>
      <c r="D11" s="23">
        <f>'Modelo Runway'!G23</f>
        <v>-862174.06857500004</v>
      </c>
    </row>
    <row r="12" spans="1:4" ht="15" customHeight="1" x14ac:dyDescent="0.25">
      <c r="A12" s="3" t="s">
        <v>407</v>
      </c>
      <c r="B12" s="3" t="str">
        <f>IF(B11&lt;0,"NEGATIVO","positivo")</f>
        <v>positivo</v>
      </c>
      <c r="C12" s="3" t="str">
        <f>IF(C11&lt;0,"NEGATIVO","positivo")</f>
        <v>NEGATIVO</v>
      </c>
      <c r="D12" s="3" t="str">
        <f>IF(D11&lt;0,"NEGATIVO","positivo")</f>
        <v>NEGATIVO</v>
      </c>
    </row>
    <row r="14" spans="1:4" ht="15" customHeight="1" x14ac:dyDescent="0.25">
      <c r="A14" s="12" t="s">
        <v>408</v>
      </c>
    </row>
    <row r="15" spans="1:4" ht="15" customHeight="1" x14ac:dyDescent="0.25">
      <c r="A15" t="s">
        <v>409</v>
      </c>
      <c r="B15" s="23">
        <f>'Modelo Runway'!B10</f>
        <v>1412571.55</v>
      </c>
      <c r="C15" s="23">
        <f>'Modelo Runway'!C10</f>
        <v>1096977.33</v>
      </c>
      <c r="D15" s="23">
        <f>'Modelo Runway'!D10</f>
        <v>832113.55</v>
      </c>
    </row>
    <row r="16" spans="1:4" ht="15" customHeight="1" x14ac:dyDescent="0.25">
      <c r="A16" t="s">
        <v>410</v>
      </c>
      <c r="B16" s="23">
        <f>'Modelo Runway'!E10</f>
        <v>1185828.7050000001</v>
      </c>
      <c r="C16" s="23">
        <f>'Modelo Runway'!F10</f>
        <v>877256.42320000008</v>
      </c>
      <c r="D16" s="23">
        <f>'Modelo Runway'!G10</f>
        <v>573550.14350000001</v>
      </c>
    </row>
    <row r="18" spans="1:4" ht="15" customHeight="1" x14ac:dyDescent="0.25">
      <c r="A18" s="12" t="s">
        <v>411</v>
      </c>
    </row>
    <row r="19" spans="1:4" ht="39.75" customHeight="1" x14ac:dyDescent="0.25">
      <c r="A19" t="s">
        <v>412</v>
      </c>
      <c r="B19" s="4" t="s">
        <v>413</v>
      </c>
      <c r="C19" s="4" t="s">
        <v>414</v>
      </c>
      <c r="D19" s="4" t="s">
        <v>415</v>
      </c>
    </row>
    <row r="20" spans="1:4" ht="39.75" customHeight="1" x14ac:dyDescent="0.25">
      <c r="A20" t="s">
        <v>416</v>
      </c>
      <c r="B20" s="4" t="s">
        <v>417</v>
      </c>
      <c r="C20" s="4" t="s">
        <v>418</v>
      </c>
      <c r="D20" s="4" t="s">
        <v>419</v>
      </c>
    </row>
    <row r="21" spans="1:4" ht="39.75" customHeight="1" x14ac:dyDescent="0.25">
      <c r="A21" t="s">
        <v>420</v>
      </c>
      <c r="B21" s="4" t="s">
        <v>421</v>
      </c>
      <c r="C21" s="4" t="s">
        <v>422</v>
      </c>
      <c r="D21" s="4" t="s">
        <v>423</v>
      </c>
    </row>
    <row r="22" spans="1:4" ht="39.75" customHeight="1" x14ac:dyDescent="0.25">
      <c r="A22" t="s">
        <v>424</v>
      </c>
      <c r="B22" s="4" t="s">
        <v>425</v>
      </c>
      <c r="C22" s="4" t="s">
        <v>426</v>
      </c>
      <c r="D22" s="4" t="s">
        <v>427</v>
      </c>
    </row>
    <row r="23" spans="1:4" ht="39.75" customHeight="1" x14ac:dyDescent="0.25">
      <c r="A23" t="s">
        <v>428</v>
      </c>
      <c r="B23" s="4" t="s">
        <v>429</v>
      </c>
      <c r="C23" s="4" t="s">
        <v>430</v>
      </c>
      <c r="D23" s="4" t="s">
        <v>431</v>
      </c>
    </row>
    <row r="24" spans="1:4" ht="39.75" customHeight="1" x14ac:dyDescent="0.25">
      <c r="A24" t="s">
        <v>432</v>
      </c>
      <c r="B24" s="4" t="s">
        <v>433</v>
      </c>
      <c r="C24" s="4" t="s">
        <v>433</v>
      </c>
      <c r="D24" s="4" t="s">
        <v>433</v>
      </c>
    </row>
    <row r="27" spans="1:4" ht="15" customHeight="1" x14ac:dyDescent="0.25">
      <c r="A27" s="12" t="s">
        <v>434</v>
      </c>
    </row>
    <row r="28" spans="1:4" ht="34.5" customHeight="1" x14ac:dyDescent="0.25">
      <c r="A28" t="s">
        <v>435</v>
      </c>
      <c r="B28" s="31" t="s">
        <v>436</v>
      </c>
      <c r="C28" s="31" t="s">
        <v>437</v>
      </c>
      <c r="D28" s="31" t="s">
        <v>437</v>
      </c>
    </row>
    <row r="29" spans="1:4" ht="34.5" customHeight="1" x14ac:dyDescent="0.25">
      <c r="A29" t="s">
        <v>438</v>
      </c>
      <c r="B29" s="31" t="s">
        <v>439</v>
      </c>
      <c r="C29" s="31" t="s">
        <v>440</v>
      </c>
      <c r="D29" s="31" t="s">
        <v>440</v>
      </c>
    </row>
    <row r="30" spans="1:4" ht="34.5" customHeight="1" x14ac:dyDescent="0.25">
      <c r="A30" t="s">
        <v>441</v>
      </c>
      <c r="B30" s="31" t="s">
        <v>442</v>
      </c>
      <c r="C30" s="31" t="s">
        <v>440</v>
      </c>
      <c r="D30" s="31" t="s">
        <v>440</v>
      </c>
    </row>
    <row r="33" spans="1:4" ht="15" customHeight="1" x14ac:dyDescent="0.25">
      <c r="A33" s="3" t="s">
        <v>122</v>
      </c>
    </row>
    <row r="34" spans="1:4" ht="27.75" customHeight="1" x14ac:dyDescent="0.25">
      <c r="A34" s="73" t="s">
        <v>443</v>
      </c>
      <c r="B34" s="70"/>
      <c r="C34" s="70"/>
      <c r="D34" s="70"/>
    </row>
    <row r="35" spans="1:4" ht="15" customHeight="1" x14ac:dyDescent="0.25">
      <c r="A35" s="73" t="s">
        <v>444</v>
      </c>
      <c r="B35" s="70"/>
      <c r="C35" s="70"/>
      <c r="D35" s="70"/>
    </row>
    <row r="36" spans="1:4" ht="15" customHeight="1" x14ac:dyDescent="0.25">
      <c r="A36" s="73" t="s">
        <v>445</v>
      </c>
      <c r="B36" s="70"/>
      <c r="C36" s="70"/>
      <c r="D36" s="70"/>
    </row>
    <row r="37" spans="1:4" ht="27.75" customHeight="1" x14ac:dyDescent="0.25">
      <c r="A37" s="73" t="s">
        <v>446</v>
      </c>
      <c r="B37" s="70"/>
      <c r="C37" s="70"/>
      <c r="D37" s="70"/>
    </row>
  </sheetData>
  <mergeCells count="5">
    <mergeCell ref="A1:D1"/>
    <mergeCell ref="A37:D37"/>
    <mergeCell ref="A34:D34"/>
    <mergeCell ref="A35:D35"/>
    <mergeCell ref="A36:D36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7"/>
  <sheetViews>
    <sheetView topLeftCell="A10" zoomScaleNormal="100" workbookViewId="0">
      <selection sqref="A1:H1"/>
    </sheetView>
  </sheetViews>
  <sheetFormatPr defaultColWidth="8.7109375" defaultRowHeight="15" x14ac:dyDescent="0.25"/>
  <cols>
    <col min="1" max="1" width="35" customWidth="1"/>
    <col min="2" max="2" width="22" customWidth="1"/>
    <col min="3" max="10" width="14" customWidth="1"/>
  </cols>
  <sheetData>
    <row r="1" spans="1:10" ht="15" customHeight="1" x14ac:dyDescent="0.25">
      <c r="A1" s="74" t="s">
        <v>447</v>
      </c>
      <c r="B1" s="70"/>
      <c r="C1" s="70"/>
      <c r="D1" s="70"/>
      <c r="E1" s="70"/>
      <c r="F1" s="70"/>
      <c r="G1" s="70"/>
      <c r="H1" s="70"/>
    </row>
    <row r="2" spans="1:10" ht="15" customHeight="1" x14ac:dyDescent="0.25">
      <c r="A2" s="76" t="s">
        <v>448</v>
      </c>
      <c r="B2" s="70"/>
      <c r="C2" s="70"/>
      <c r="D2" s="70"/>
      <c r="E2" s="70"/>
      <c r="F2" s="70"/>
      <c r="G2" s="70"/>
      <c r="H2" s="70"/>
    </row>
    <row r="4" spans="1:10" ht="15" customHeight="1" x14ac:dyDescent="0.25">
      <c r="A4" s="10" t="s">
        <v>449</v>
      </c>
      <c r="B4" s="10" t="s">
        <v>450</v>
      </c>
      <c r="C4" s="10" t="s">
        <v>451</v>
      </c>
      <c r="D4" s="10" t="s">
        <v>72</v>
      </c>
      <c r="E4" s="10" t="s">
        <v>452</v>
      </c>
      <c r="F4" s="10" t="s">
        <v>453</v>
      </c>
      <c r="G4" s="10" t="s">
        <v>454</v>
      </c>
      <c r="H4" s="10" t="s">
        <v>455</v>
      </c>
      <c r="I4" s="10" t="s">
        <v>456</v>
      </c>
      <c r="J4" s="10" t="s">
        <v>457</v>
      </c>
    </row>
    <row r="5" spans="1:10" ht="15" customHeight="1" x14ac:dyDescent="0.25">
      <c r="A5" s="3" t="s">
        <v>458</v>
      </c>
      <c r="B5" t="s">
        <v>459</v>
      </c>
      <c r="C5" s="26">
        <f>Indicadores!C28</f>
        <v>0.79673203916193314</v>
      </c>
      <c r="D5" s="26">
        <f>Indicadores!D28</f>
        <v>0.76330386790381977</v>
      </c>
      <c r="E5" s="26">
        <f>'Modelo Runway'!B26</f>
        <v>0.69928603959411639</v>
      </c>
      <c r="F5" s="26">
        <f>'Modelo Runway'!C26</f>
        <v>0.7777998673037313</v>
      </c>
      <c r="G5" s="26">
        <f>'Modelo Runway'!D26</f>
        <v>0.96909504260600021</v>
      </c>
      <c r="H5" s="26">
        <f>'Modelo Runway'!E26</f>
        <v>0.60392885237673688</v>
      </c>
      <c r="I5" s="26">
        <f>'Modelo Runway'!F26</f>
        <v>0.78527871218165179</v>
      </c>
      <c r="J5" s="26">
        <f>'Modelo Runway'!G26</f>
        <v>1.098973759656289</v>
      </c>
    </row>
    <row r="6" spans="1:10" ht="15" customHeight="1" x14ac:dyDescent="0.25">
      <c r="A6" s="32" t="s">
        <v>460</v>
      </c>
      <c r="C6" s="33" t="str">
        <f t="shared" ref="C6:J6" si="0">IF(C5&lt;=0.65,"OK","FALHA")</f>
        <v>FALHA</v>
      </c>
      <c r="D6" s="33" t="str">
        <f t="shared" si="0"/>
        <v>FALHA</v>
      </c>
      <c r="E6" s="33" t="str">
        <f t="shared" si="0"/>
        <v>FALHA</v>
      </c>
      <c r="F6" s="33" t="str">
        <f t="shared" si="0"/>
        <v>FALHA</v>
      </c>
      <c r="G6" s="33" t="str">
        <f t="shared" si="0"/>
        <v>FALHA</v>
      </c>
      <c r="H6" s="33" t="str">
        <f t="shared" si="0"/>
        <v>OK</v>
      </c>
      <c r="I6" s="33" t="str">
        <f t="shared" si="0"/>
        <v>FALHA</v>
      </c>
      <c r="J6" s="33" t="str">
        <f t="shared" si="0"/>
        <v>FALHA</v>
      </c>
    </row>
    <row r="8" spans="1:10" ht="15" customHeight="1" x14ac:dyDescent="0.25">
      <c r="A8" s="3" t="s">
        <v>461</v>
      </c>
      <c r="B8" t="s">
        <v>462</v>
      </c>
      <c r="C8" s="26">
        <f>'Operacional Puro'!D18</f>
        <v>-4.9691184219341593E-2</v>
      </c>
      <c r="D8" s="26">
        <f>'Operacional Puro'!E18</f>
        <v>-4.6133664108040685E-2</v>
      </c>
      <c r="E8" s="26">
        <f>'Modelo Runway'!B28</f>
        <v>0.28869671596239055</v>
      </c>
      <c r="F8" s="26">
        <f>'Modelo Runway'!C28</f>
        <v>-2.7713665224434901E-4</v>
      </c>
      <c r="G8" s="26">
        <f>'Modelo Runway'!D28</f>
        <v>-0.35274003068476933</v>
      </c>
      <c r="H8" s="26">
        <f>'Modelo Runway'!E28</f>
        <v>0.38746787040761371</v>
      </c>
      <c r="I8" s="26">
        <f>'Modelo Runway'!F28</f>
        <v>4.3823248391674959E-3</v>
      </c>
      <c r="J8" s="26">
        <f>'Modelo Runway'!G28</f>
        <v>-0.46916532607405259</v>
      </c>
    </row>
    <row r="9" spans="1:10" ht="15" customHeight="1" x14ac:dyDescent="0.25">
      <c r="A9" s="32" t="s">
        <v>460</v>
      </c>
      <c r="C9" s="33" t="str">
        <f t="shared" ref="C9:J9" si="1">IF(C8&gt;=0.05,"OK","FALHA")</f>
        <v>FALHA</v>
      </c>
      <c r="D9" s="33" t="str">
        <f t="shared" si="1"/>
        <v>FALHA</v>
      </c>
      <c r="E9" s="33" t="str">
        <f t="shared" si="1"/>
        <v>OK</v>
      </c>
      <c r="F9" s="33" t="str">
        <f t="shared" si="1"/>
        <v>FALHA</v>
      </c>
      <c r="G9" s="33" t="str">
        <f t="shared" si="1"/>
        <v>FALHA</v>
      </c>
      <c r="H9" s="33" t="str">
        <f t="shared" si="1"/>
        <v>OK</v>
      </c>
      <c r="I9" s="33" t="str">
        <f t="shared" si="1"/>
        <v>FALHA</v>
      </c>
      <c r="J9" s="33" t="str">
        <f t="shared" si="1"/>
        <v>FALHA</v>
      </c>
    </row>
    <row r="11" spans="1:10" ht="15" customHeight="1" x14ac:dyDescent="0.25">
      <c r="A11" s="3" t="s">
        <v>463</v>
      </c>
      <c r="B11" t="s">
        <v>464</v>
      </c>
      <c r="C11" s="34">
        <v>5.5479264394536898</v>
      </c>
      <c r="D11" s="34">
        <v>1.1862670635607799</v>
      </c>
      <c r="E11" s="25">
        <f>'Modelo Runway'!B29</f>
        <v>0.2857142857142857</v>
      </c>
      <c r="F11" s="25">
        <f>'Modelo Runway'!C29</f>
        <v>0.3</v>
      </c>
      <c r="G11" s="25">
        <f>'Modelo Runway'!D29</f>
        <v>0.14285714285714285</v>
      </c>
      <c r="H11" s="25">
        <f>'Modelo Runway'!E29</f>
        <v>0.75</v>
      </c>
      <c r="I11" s="25">
        <f>'Modelo Runway'!F29</f>
        <v>0.8</v>
      </c>
      <c r="J11" s="25">
        <f>'Modelo Runway'!G29</f>
        <v>1</v>
      </c>
    </row>
    <row r="12" spans="1:10" ht="15" customHeight="1" x14ac:dyDescent="0.25">
      <c r="A12" s="32" t="s">
        <v>460</v>
      </c>
      <c r="C12" s="33" t="str">
        <f t="shared" ref="C12:J12" si="2">IF(C11&lt;=1,"OK","FALHA")</f>
        <v>FALHA</v>
      </c>
      <c r="D12" s="33" t="str">
        <f t="shared" si="2"/>
        <v>FALHA</v>
      </c>
      <c r="E12" s="33" t="str">
        <f t="shared" si="2"/>
        <v>OK</v>
      </c>
      <c r="F12" s="33" t="str">
        <f t="shared" si="2"/>
        <v>OK</v>
      </c>
      <c r="G12" s="33" t="str">
        <f t="shared" si="2"/>
        <v>OK</v>
      </c>
      <c r="H12" s="33" t="str">
        <f t="shared" si="2"/>
        <v>OK</v>
      </c>
      <c r="I12" s="33" t="str">
        <f t="shared" si="2"/>
        <v>OK</v>
      </c>
      <c r="J12" s="33" t="str">
        <f t="shared" si="2"/>
        <v>OK</v>
      </c>
    </row>
    <row r="14" spans="1:10" ht="15" customHeight="1" x14ac:dyDescent="0.25">
      <c r="A14" s="3" t="s">
        <v>465</v>
      </c>
      <c r="B14" t="s">
        <v>466</v>
      </c>
      <c r="C14" s="35">
        <v>2.08228697228349</v>
      </c>
      <c r="D14" s="35">
        <v>0.32022871391235103</v>
      </c>
      <c r="E14" s="36">
        <f>'Modelo Runway'!B32</f>
        <v>1.8566147229177379</v>
      </c>
      <c r="F14" s="36">
        <f>'Modelo Runway'!C32</f>
        <v>-1.8755094466384985</v>
      </c>
      <c r="G14" s="36">
        <f>'Modelo Runway'!D32</f>
        <v>-4.4456311866324345</v>
      </c>
      <c r="H14" s="36">
        <f>'Modelo Runway'!E32</f>
        <v>1.2070182574209385</v>
      </c>
      <c r="I14" s="36">
        <f>'Modelo Runway'!F32</f>
        <v>-5.7646284871033631</v>
      </c>
      <c r="J14" s="36">
        <f>'Modelo Runway'!G32</f>
        <v>-11.133174602088975</v>
      </c>
    </row>
    <row r="15" spans="1:10" ht="15" customHeight="1" x14ac:dyDescent="0.25">
      <c r="A15" s="32" t="s">
        <v>460</v>
      </c>
      <c r="C15" s="33" t="str">
        <f t="shared" ref="C15:J15" si="3">IF(C14&gt;=1,"OK","FALHA")</f>
        <v>OK</v>
      </c>
      <c r="D15" s="33" t="str">
        <f t="shared" si="3"/>
        <v>FALHA</v>
      </c>
      <c r="E15" s="33" t="str">
        <f t="shared" si="3"/>
        <v>OK</v>
      </c>
      <c r="F15" s="33" t="str">
        <f t="shared" si="3"/>
        <v>FALHA</v>
      </c>
      <c r="G15" s="33" t="str">
        <f t="shared" si="3"/>
        <v>FALHA</v>
      </c>
      <c r="H15" s="33" t="str">
        <f t="shared" si="3"/>
        <v>OK</v>
      </c>
      <c r="I15" s="33" t="str">
        <f t="shared" si="3"/>
        <v>FALHA</v>
      </c>
      <c r="J15" s="33" t="str">
        <f t="shared" si="3"/>
        <v>FALHA</v>
      </c>
    </row>
    <row r="17" spans="1:10" ht="15" customHeight="1" x14ac:dyDescent="0.25">
      <c r="A17" s="12" t="s">
        <v>467</v>
      </c>
    </row>
    <row r="18" spans="1:10" ht="15" customHeight="1" x14ac:dyDescent="0.25">
      <c r="A18" s="3" t="s">
        <v>468</v>
      </c>
      <c r="C18" s="37">
        <f t="shared" ref="C18:J18" si="4">COUNTIF(C6:C15,"OK")</f>
        <v>1</v>
      </c>
      <c r="D18" s="37">
        <f t="shared" si="4"/>
        <v>0</v>
      </c>
      <c r="E18" s="37">
        <f t="shared" si="4"/>
        <v>3</v>
      </c>
      <c r="F18" s="37">
        <f t="shared" si="4"/>
        <v>1</v>
      </c>
      <c r="G18" s="37">
        <f t="shared" si="4"/>
        <v>1</v>
      </c>
      <c r="H18" s="37">
        <f t="shared" si="4"/>
        <v>4</v>
      </c>
      <c r="I18" s="37">
        <f t="shared" si="4"/>
        <v>1</v>
      </c>
      <c r="J18" s="37">
        <f t="shared" si="4"/>
        <v>1</v>
      </c>
    </row>
    <row r="19" spans="1:10" ht="15" customHeight="1" x14ac:dyDescent="0.25">
      <c r="A19" s="12" t="s">
        <v>469</v>
      </c>
      <c r="C19" s="38" t="str">
        <f t="shared" ref="C19:J19" si="5">IF(C18=4,"COMPETITIVO",IF(C18&gt;=2,"FRÁGIL","COLAPSO"))</f>
        <v>COLAPSO</v>
      </c>
      <c r="D19" s="38" t="str">
        <f t="shared" si="5"/>
        <v>COLAPSO</v>
      </c>
      <c r="E19" s="38" t="str">
        <f t="shared" si="5"/>
        <v>FRÁGIL</v>
      </c>
      <c r="F19" s="38" t="str">
        <f t="shared" si="5"/>
        <v>COLAPSO</v>
      </c>
      <c r="G19" s="38" t="str">
        <f t="shared" si="5"/>
        <v>COLAPSO</v>
      </c>
      <c r="H19" s="38" t="str">
        <f t="shared" si="5"/>
        <v>COMPETITIVO</v>
      </c>
      <c r="I19" s="38" t="str">
        <f t="shared" si="5"/>
        <v>COLAPSO</v>
      </c>
      <c r="J19" s="38" t="str">
        <f t="shared" si="5"/>
        <v>COLAPSO</v>
      </c>
    </row>
    <row r="21" spans="1:10" ht="15" customHeight="1" x14ac:dyDescent="0.25">
      <c r="A21" s="3" t="s">
        <v>122</v>
      </c>
    </row>
    <row r="22" spans="1:10" ht="15" customHeight="1" x14ac:dyDescent="0.25">
      <c r="A22" s="73" t="s">
        <v>470</v>
      </c>
      <c r="B22" s="70"/>
      <c r="C22" s="70"/>
      <c r="D22" s="70"/>
      <c r="E22" s="70"/>
      <c r="F22" s="70"/>
      <c r="G22" s="70"/>
      <c r="H22" s="70"/>
      <c r="I22" s="70"/>
      <c r="J22" s="70"/>
    </row>
    <row r="23" spans="1:10" ht="15" customHeight="1" x14ac:dyDescent="0.25">
      <c r="A23" s="73" t="s">
        <v>471</v>
      </c>
      <c r="B23" s="70"/>
      <c r="C23" s="70"/>
      <c r="D23" s="70"/>
      <c r="E23" s="70"/>
      <c r="F23" s="70"/>
      <c r="G23" s="70"/>
      <c r="H23" s="70"/>
      <c r="I23" s="70"/>
      <c r="J23" s="70"/>
    </row>
    <row r="24" spans="1:10" ht="15" customHeight="1" x14ac:dyDescent="0.25">
      <c r="A24" s="73" t="s">
        <v>472</v>
      </c>
      <c r="B24" s="70"/>
      <c r="C24" s="70"/>
      <c r="D24" s="70"/>
      <c r="E24" s="70"/>
      <c r="F24" s="70"/>
      <c r="G24" s="70"/>
      <c r="H24" s="70"/>
      <c r="I24" s="70"/>
      <c r="J24" s="70"/>
    </row>
    <row r="25" spans="1:10" ht="15" customHeight="1" x14ac:dyDescent="0.25">
      <c r="A25" s="73" t="s">
        <v>473</v>
      </c>
      <c r="B25" s="70"/>
      <c r="C25" s="70"/>
      <c r="D25" s="70"/>
      <c r="E25" s="70"/>
      <c r="F25" s="70"/>
      <c r="G25" s="70"/>
      <c r="H25" s="70"/>
      <c r="I25" s="70"/>
      <c r="J25" s="70"/>
    </row>
    <row r="26" spans="1:10" ht="15" customHeight="1" x14ac:dyDescent="0.25">
      <c r="A26" s="73" t="s">
        <v>474</v>
      </c>
      <c r="B26" s="70"/>
      <c r="C26" s="70"/>
      <c r="D26" s="70"/>
      <c r="E26" s="70"/>
      <c r="F26" s="70"/>
      <c r="G26" s="70"/>
      <c r="H26" s="70"/>
      <c r="I26" s="70"/>
      <c r="J26" s="70"/>
    </row>
    <row r="27" spans="1:10" ht="50.1" customHeight="1" x14ac:dyDescent="0.25">
      <c r="A27" s="73" t="s">
        <v>475</v>
      </c>
      <c r="B27" s="70"/>
      <c r="C27" s="70"/>
      <c r="D27" s="70"/>
      <c r="E27" s="70"/>
      <c r="F27" s="70"/>
      <c r="G27" s="70"/>
      <c r="H27" s="70"/>
      <c r="I27" s="70"/>
      <c r="J27" s="70"/>
    </row>
  </sheetData>
  <mergeCells count="8">
    <mergeCell ref="A27:J27"/>
    <mergeCell ref="A26:J26"/>
    <mergeCell ref="A24:J24"/>
    <mergeCell ref="A1:H1"/>
    <mergeCell ref="A25:J25"/>
    <mergeCell ref="A23:J23"/>
    <mergeCell ref="A22:J22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F52"/>
  <sheetViews>
    <sheetView topLeftCell="A43" zoomScaleNormal="100" workbookViewId="0"/>
  </sheetViews>
  <sheetFormatPr defaultColWidth="8.7109375" defaultRowHeight="15" x14ac:dyDescent="0.25"/>
  <cols>
    <col min="1" max="1" width="4" customWidth="1"/>
    <col min="2" max="2" width="50" customWidth="1"/>
    <col min="3" max="3" width="18" customWidth="1"/>
    <col min="5" max="5" width="9.140625" bestFit="1" customWidth="1"/>
  </cols>
  <sheetData>
    <row r="2" spans="2:6" ht="17.25" customHeight="1" x14ac:dyDescent="0.25">
      <c r="B2" s="71" t="s">
        <v>476</v>
      </c>
      <c r="C2" s="70"/>
      <c r="D2" s="70"/>
      <c r="E2" s="70"/>
      <c r="F2" s="70"/>
    </row>
    <row r="3" spans="2:6" ht="15" customHeight="1" x14ac:dyDescent="0.25">
      <c r="B3" s="72" t="s">
        <v>477</v>
      </c>
      <c r="C3" s="70"/>
      <c r="D3" s="70"/>
      <c r="E3" s="70"/>
      <c r="F3" s="70"/>
    </row>
    <row r="5" spans="2:6" ht="23.25" customHeight="1" x14ac:dyDescent="0.25">
      <c r="B5" s="39" t="s">
        <v>478</v>
      </c>
      <c r="C5" s="39" t="s">
        <v>154</v>
      </c>
      <c r="D5" s="39" t="s">
        <v>70</v>
      </c>
      <c r="E5" s="39" t="s">
        <v>156</v>
      </c>
      <c r="F5" s="39" t="s">
        <v>72</v>
      </c>
    </row>
    <row r="6" spans="2:6" ht="15" customHeight="1" x14ac:dyDescent="0.25">
      <c r="B6" s="40" t="s">
        <v>479</v>
      </c>
      <c r="C6" s="41"/>
      <c r="D6" s="41"/>
      <c r="E6" s="41"/>
      <c r="F6" s="41"/>
    </row>
    <row r="7" spans="2:6" ht="15" customHeight="1" x14ac:dyDescent="0.25">
      <c r="B7" s="42" t="s">
        <v>480</v>
      </c>
      <c r="C7" s="13">
        <v>81628</v>
      </c>
      <c r="D7" s="13">
        <v>102228</v>
      </c>
      <c r="E7" s="13">
        <v>166166</v>
      </c>
      <c r="F7" s="13">
        <v>0</v>
      </c>
    </row>
    <row r="8" spans="2:6" ht="15" customHeight="1" x14ac:dyDescent="0.25">
      <c r="B8" s="42" t="s">
        <v>481</v>
      </c>
      <c r="C8" s="13">
        <v>81628</v>
      </c>
      <c r="D8" s="13">
        <v>183856</v>
      </c>
      <c r="E8" s="13">
        <v>350022</v>
      </c>
      <c r="F8" s="13">
        <v>350022</v>
      </c>
    </row>
    <row r="9" spans="2:6" ht="15" customHeight="1" x14ac:dyDescent="0.25">
      <c r="B9" s="42" t="s">
        <v>482</v>
      </c>
      <c r="C9" s="43" t="str">
        <f>IF(C8&gt;=350000,"Sim","Em curso")</f>
        <v>Em curso</v>
      </c>
      <c r="D9" s="43" t="str">
        <f>IF(D8&gt;=350000,"Sim","Em curso")</f>
        <v>Em curso</v>
      </c>
      <c r="E9" s="43" t="str">
        <f>IF(E8&gt;=350000,"Sim","Em curso")</f>
        <v>Sim</v>
      </c>
      <c r="F9" s="43" t="str">
        <f>IF(F8&gt;=350000,"Sim","Em curso")</f>
        <v>Sim</v>
      </c>
    </row>
    <row r="10" spans="2:6" ht="15" customHeight="1" x14ac:dyDescent="0.25">
      <c r="B10" s="44"/>
    </row>
    <row r="11" spans="2:6" ht="15" customHeight="1" x14ac:dyDescent="0.25">
      <c r="B11" s="40" t="s">
        <v>483</v>
      </c>
      <c r="C11" s="41"/>
      <c r="D11" s="41"/>
      <c r="E11" s="41"/>
      <c r="F11" s="41"/>
    </row>
    <row r="12" spans="2:6" ht="15" customHeight="1" x14ac:dyDescent="0.25">
      <c r="B12" s="42" t="s">
        <v>484</v>
      </c>
      <c r="C12" s="13">
        <v>0</v>
      </c>
      <c r="D12" s="13">
        <v>0</v>
      </c>
      <c r="E12" s="13">
        <v>379283</v>
      </c>
      <c r="F12" s="13">
        <v>108397</v>
      </c>
    </row>
    <row r="13" spans="2:6" ht="15" customHeight="1" x14ac:dyDescent="0.25">
      <c r="B13" s="42" t="s">
        <v>485</v>
      </c>
      <c r="C13" s="13">
        <v>0</v>
      </c>
      <c r="D13" s="13">
        <v>0</v>
      </c>
      <c r="E13" s="13">
        <v>362000</v>
      </c>
      <c r="F13" s="13">
        <v>91000</v>
      </c>
    </row>
    <row r="14" spans="2:6" ht="15" customHeight="1" x14ac:dyDescent="0.25">
      <c r="B14" s="42" t="s">
        <v>486</v>
      </c>
      <c r="E14" s="45">
        <f>E12/56400</f>
        <v>6.7248758865248224</v>
      </c>
      <c r="F14" s="45">
        <f>F12/17350</f>
        <v>6.2476657060518734</v>
      </c>
    </row>
    <row r="15" spans="2:6" ht="15" customHeight="1" x14ac:dyDescent="0.25">
      <c r="B15" s="44"/>
    </row>
    <row r="16" spans="2:6" ht="15" customHeight="1" x14ac:dyDescent="0.25">
      <c r="B16" s="40" t="s">
        <v>487</v>
      </c>
      <c r="C16" s="41"/>
      <c r="D16" s="41"/>
      <c r="E16" s="41"/>
      <c r="F16" s="41"/>
    </row>
    <row r="17" spans="2:6" ht="15" customHeight="1" x14ac:dyDescent="0.25">
      <c r="B17" s="42" t="s">
        <v>488</v>
      </c>
      <c r="C17" s="13">
        <v>0</v>
      </c>
      <c r="D17" s="13">
        <v>333000</v>
      </c>
      <c r="E17" s="13">
        <v>0</v>
      </c>
      <c r="F17" s="13">
        <v>0</v>
      </c>
    </row>
    <row r="18" spans="2:6" ht="15" customHeight="1" x14ac:dyDescent="0.25">
      <c r="B18" s="42" t="s">
        <v>489</v>
      </c>
      <c r="C18" s="13">
        <v>0</v>
      </c>
      <c r="D18" s="13">
        <v>0</v>
      </c>
      <c r="E18" s="13">
        <v>547000</v>
      </c>
      <c r="F18" s="13">
        <v>0</v>
      </c>
    </row>
    <row r="19" spans="2:6" ht="15" customHeight="1" x14ac:dyDescent="0.25">
      <c r="B19" s="42" t="s">
        <v>490</v>
      </c>
      <c r="C19" s="13">
        <v>0</v>
      </c>
      <c r="D19" s="13">
        <v>0</v>
      </c>
      <c r="E19" s="13">
        <v>54707</v>
      </c>
      <c r="F19" s="13">
        <v>-57419</v>
      </c>
    </row>
    <row r="20" spans="2:6" ht="15" customHeight="1" x14ac:dyDescent="0.25">
      <c r="B20" s="44"/>
    </row>
    <row r="21" spans="2:6" ht="15" customHeight="1" x14ac:dyDescent="0.25">
      <c r="B21" s="40" t="s">
        <v>491</v>
      </c>
      <c r="C21" s="41"/>
      <c r="D21" s="41"/>
      <c r="E21" s="41"/>
      <c r="F21" s="41"/>
    </row>
    <row r="22" spans="2:6" ht="15" customHeight="1" x14ac:dyDescent="0.25">
      <c r="B22" s="42" t="s">
        <v>492</v>
      </c>
      <c r="C22" s="13">
        <v>0</v>
      </c>
      <c r="D22" s="13">
        <v>0</v>
      </c>
      <c r="E22" s="13">
        <v>67700</v>
      </c>
      <c r="F22" s="13">
        <v>0</v>
      </c>
    </row>
    <row r="23" spans="2:6" ht="15" customHeight="1" x14ac:dyDescent="0.25">
      <c r="B23" s="42" t="s">
        <v>493</v>
      </c>
      <c r="C23" s="13">
        <v>0</v>
      </c>
      <c r="D23" s="13">
        <v>0</v>
      </c>
      <c r="E23" s="13">
        <v>0</v>
      </c>
      <c r="F23" s="13">
        <v>80673</v>
      </c>
    </row>
    <row r="24" spans="2:6" ht="15" customHeight="1" x14ac:dyDescent="0.25">
      <c r="B24" s="42" t="s">
        <v>494</v>
      </c>
      <c r="C24" s="46">
        <f>C22+C23</f>
        <v>0</v>
      </c>
      <c r="D24" s="46">
        <f>D22+D23</f>
        <v>0</v>
      </c>
      <c r="E24" s="46">
        <f>E22+E23</f>
        <v>67700</v>
      </c>
      <c r="F24" s="46">
        <f>F22+F23</f>
        <v>80673</v>
      </c>
    </row>
    <row r="25" spans="2:6" ht="15" customHeight="1" x14ac:dyDescent="0.25">
      <c r="B25" s="44"/>
    </row>
    <row r="26" spans="2:6" ht="15" customHeight="1" x14ac:dyDescent="0.25">
      <c r="B26" s="40" t="s">
        <v>495</v>
      </c>
      <c r="C26" s="41"/>
      <c r="D26" s="41"/>
      <c r="E26" s="41"/>
      <c r="F26" s="41"/>
    </row>
    <row r="27" spans="2:6" ht="15" customHeight="1" x14ac:dyDescent="0.25">
      <c r="B27" s="42" t="s">
        <v>496</v>
      </c>
      <c r="C27" s="13">
        <v>0</v>
      </c>
      <c r="D27" s="13">
        <v>0</v>
      </c>
      <c r="E27" s="13">
        <v>0</v>
      </c>
      <c r="F27" s="13">
        <v>174000</v>
      </c>
    </row>
    <row r="28" spans="2:6" ht="15" customHeight="1" x14ac:dyDescent="0.25">
      <c r="B28" s="42" t="s">
        <v>497</v>
      </c>
      <c r="C28" s="13">
        <v>0</v>
      </c>
      <c r="D28" s="13">
        <v>0</v>
      </c>
      <c r="E28" s="13">
        <v>0</v>
      </c>
      <c r="F28" s="13">
        <v>727000</v>
      </c>
    </row>
    <row r="29" spans="2:6" ht="15" customHeight="1" x14ac:dyDescent="0.25">
      <c r="B29" s="42" t="s">
        <v>498</v>
      </c>
      <c r="C29" s="13">
        <v>0</v>
      </c>
      <c r="D29" s="13">
        <v>6000</v>
      </c>
      <c r="E29" s="13">
        <v>130000</v>
      </c>
      <c r="F29" s="13">
        <v>141000</v>
      </c>
    </row>
    <row r="30" spans="2:6" ht="15" customHeight="1" x14ac:dyDescent="0.25">
      <c r="B30" s="44"/>
    </row>
    <row r="31" spans="2:6" ht="15" customHeight="1" x14ac:dyDescent="0.25">
      <c r="B31" s="40" t="s">
        <v>499</v>
      </c>
      <c r="C31" s="41"/>
      <c r="D31" s="41"/>
      <c r="E31" s="41"/>
      <c r="F31" s="41"/>
    </row>
    <row r="32" spans="2:6" ht="15" customHeight="1" x14ac:dyDescent="0.25">
      <c r="B32" s="42" t="s">
        <v>500</v>
      </c>
      <c r="C32" s="47">
        <f>C7</f>
        <v>81628</v>
      </c>
      <c r="D32" s="47">
        <f>D7</f>
        <v>102228</v>
      </c>
      <c r="E32" s="47">
        <f>E7</f>
        <v>166166</v>
      </c>
      <c r="F32" s="47">
        <f>F7</f>
        <v>0</v>
      </c>
    </row>
    <row r="33" spans="2:6" ht="15" customHeight="1" x14ac:dyDescent="0.25">
      <c r="B33" s="42" t="s">
        <v>501</v>
      </c>
      <c r="C33" s="47">
        <f>C13</f>
        <v>0</v>
      </c>
      <c r="D33" s="47">
        <f>D13</f>
        <v>0</v>
      </c>
      <c r="E33" s="47">
        <f>E13</f>
        <v>362000</v>
      </c>
      <c r="F33" s="47">
        <f>F13</f>
        <v>91000</v>
      </c>
    </row>
    <row r="34" spans="2:6" ht="15" customHeight="1" x14ac:dyDescent="0.25">
      <c r="B34" s="42" t="s">
        <v>502</v>
      </c>
      <c r="C34" s="47">
        <f>C18</f>
        <v>0</v>
      </c>
      <c r="D34" s="47">
        <f>D18</f>
        <v>0</v>
      </c>
      <c r="E34" s="47">
        <f>E18</f>
        <v>547000</v>
      </c>
      <c r="F34" s="47">
        <f>F18</f>
        <v>0</v>
      </c>
    </row>
    <row r="35" spans="2:6" ht="15" customHeight="1" x14ac:dyDescent="0.25">
      <c r="B35" s="42" t="s">
        <v>503</v>
      </c>
      <c r="C35" s="47">
        <f>C24</f>
        <v>0</v>
      </c>
      <c r="D35" s="47">
        <f>D24</f>
        <v>0</v>
      </c>
      <c r="E35" s="47">
        <f>E24</f>
        <v>67700</v>
      </c>
      <c r="F35" s="47">
        <f>F24</f>
        <v>80673</v>
      </c>
    </row>
    <row r="36" spans="2:6" ht="15" customHeight="1" x14ac:dyDescent="0.25">
      <c r="B36" s="40" t="s">
        <v>504</v>
      </c>
      <c r="C36" s="48">
        <f>C32+C33+C34+C35</f>
        <v>81628</v>
      </c>
      <c r="D36" s="48">
        <f>D32+D33+D34+D35</f>
        <v>102228</v>
      </c>
      <c r="E36" s="48">
        <f>E32+E33+E34+E35</f>
        <v>1142866</v>
      </c>
      <c r="F36" s="48">
        <f>F32+F33+F34+F35</f>
        <v>171673</v>
      </c>
    </row>
    <row r="37" spans="2:6" ht="15" customHeight="1" x14ac:dyDescent="0.25">
      <c r="B37" s="44"/>
    </row>
    <row r="38" spans="2:6" ht="15" customHeight="1" x14ac:dyDescent="0.25">
      <c r="B38" s="40" t="s">
        <v>505</v>
      </c>
      <c r="C38" s="41"/>
      <c r="D38" s="41"/>
      <c r="E38" s="41"/>
      <c r="F38" s="41"/>
    </row>
    <row r="39" spans="2:6" ht="15" customHeight="1" x14ac:dyDescent="0.25">
      <c r="B39" s="42" t="s">
        <v>506</v>
      </c>
      <c r="F39" s="49" t="s">
        <v>507</v>
      </c>
    </row>
    <row r="40" spans="2:6" ht="15" customHeight="1" x14ac:dyDescent="0.25">
      <c r="B40" s="42" t="s">
        <v>508</v>
      </c>
      <c r="F40" s="49" t="s">
        <v>509</v>
      </c>
    </row>
    <row r="41" spans="2:6" ht="15" customHeight="1" x14ac:dyDescent="0.25">
      <c r="B41" s="42" t="s">
        <v>510</v>
      </c>
      <c r="F41" s="49" t="s">
        <v>511</v>
      </c>
    </row>
    <row r="42" spans="2:6" ht="15" customHeight="1" x14ac:dyDescent="0.25">
      <c r="B42" s="42" t="s">
        <v>512</v>
      </c>
      <c r="F42" s="49" t="s">
        <v>513</v>
      </c>
    </row>
    <row r="43" spans="2:6" ht="15" customHeight="1" x14ac:dyDescent="0.25">
      <c r="B43" s="42" t="s">
        <v>514</v>
      </c>
      <c r="F43" s="49" t="s">
        <v>515</v>
      </c>
    </row>
    <row r="46" spans="2:6" ht="15" customHeight="1" x14ac:dyDescent="0.25">
      <c r="B46" s="50" t="s">
        <v>122</v>
      </c>
    </row>
    <row r="47" spans="2:6" ht="15" customHeight="1" x14ac:dyDescent="0.25">
      <c r="B47" s="69" t="s">
        <v>516</v>
      </c>
      <c r="C47" s="70"/>
      <c r="D47" s="70"/>
      <c r="E47" s="70"/>
      <c r="F47" s="70"/>
    </row>
    <row r="48" spans="2:6" ht="15" customHeight="1" x14ac:dyDescent="0.25">
      <c r="B48" s="69" t="s">
        <v>517</v>
      </c>
      <c r="C48" s="70"/>
      <c r="D48" s="70"/>
      <c r="E48" s="70"/>
      <c r="F48" s="70"/>
    </row>
    <row r="49" spans="2:6" ht="15" customHeight="1" x14ac:dyDescent="0.25">
      <c r="B49" s="69" t="s">
        <v>518</v>
      </c>
      <c r="C49" s="70"/>
      <c r="D49" s="70"/>
      <c r="E49" s="70"/>
      <c r="F49" s="70"/>
    </row>
    <row r="50" spans="2:6" ht="15" customHeight="1" x14ac:dyDescent="0.25">
      <c r="B50" s="69" t="s">
        <v>519</v>
      </c>
      <c r="C50" s="70"/>
      <c r="D50" s="70"/>
      <c r="E50" s="70"/>
      <c r="F50" s="70"/>
    </row>
    <row r="51" spans="2:6" ht="15" customHeight="1" x14ac:dyDescent="0.25">
      <c r="B51" s="69" t="s">
        <v>520</v>
      </c>
      <c r="C51" s="70"/>
      <c r="D51" s="70"/>
      <c r="E51" s="70"/>
      <c r="F51" s="70"/>
    </row>
    <row r="52" spans="2:6" ht="15" customHeight="1" x14ac:dyDescent="0.25">
      <c r="B52" s="69" t="s">
        <v>521</v>
      </c>
      <c r="C52" s="70"/>
      <c r="D52" s="70"/>
      <c r="E52" s="70"/>
      <c r="F52" s="70"/>
    </row>
  </sheetData>
  <mergeCells count="8">
    <mergeCell ref="B51:F51"/>
    <mergeCell ref="B50:F50"/>
    <mergeCell ref="B52:F52"/>
    <mergeCell ref="B47:F47"/>
    <mergeCell ref="B2:F2"/>
    <mergeCell ref="B48:F48"/>
    <mergeCell ref="B49:F49"/>
    <mergeCell ref="B3:F3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F34"/>
  <sheetViews>
    <sheetView topLeftCell="A16" zoomScaleNormal="100" workbookViewId="0"/>
  </sheetViews>
  <sheetFormatPr defaultColWidth="8.7109375" defaultRowHeight="15" x14ac:dyDescent="0.25"/>
  <cols>
    <col min="1" max="1" width="4" customWidth="1"/>
    <col min="2" max="2" width="40" customWidth="1"/>
    <col min="3" max="3" width="14" customWidth="1"/>
    <col min="4" max="4" width="30" customWidth="1"/>
    <col min="5" max="5" width="16" customWidth="1"/>
  </cols>
  <sheetData>
    <row r="2" spans="2:6" ht="17.25" customHeight="1" x14ac:dyDescent="0.25">
      <c r="B2" s="71" t="s">
        <v>522</v>
      </c>
      <c r="C2" s="70"/>
      <c r="D2" s="70"/>
      <c r="E2" s="70"/>
      <c r="F2" s="70"/>
    </row>
    <row r="3" spans="2:6" ht="15" customHeight="1" x14ac:dyDescent="0.25">
      <c r="B3" s="72" t="s">
        <v>523</v>
      </c>
      <c r="C3" s="70"/>
      <c r="D3" s="70"/>
      <c r="E3" s="70"/>
      <c r="F3" s="70"/>
    </row>
    <row r="5" spans="2:6" ht="34.5" customHeight="1" x14ac:dyDescent="0.25">
      <c r="B5" s="39" t="s">
        <v>524</v>
      </c>
      <c r="C5" s="39" t="s">
        <v>525</v>
      </c>
      <c r="D5" s="39" t="s">
        <v>526</v>
      </c>
      <c r="E5" s="39" t="s">
        <v>527</v>
      </c>
      <c r="F5" s="39" t="s">
        <v>528</v>
      </c>
    </row>
    <row r="6" spans="2:6" ht="15" customHeight="1" x14ac:dyDescent="0.25">
      <c r="B6" s="51" t="s">
        <v>529</v>
      </c>
      <c r="C6" s="41"/>
      <c r="D6" s="41"/>
      <c r="E6" s="52"/>
      <c r="F6" s="41"/>
    </row>
    <row r="7" spans="2:6" ht="15" customHeight="1" x14ac:dyDescent="0.25">
      <c r="B7" s="53" t="s">
        <v>530</v>
      </c>
      <c r="C7" s="43" t="s">
        <v>531</v>
      </c>
      <c r="D7" s="54" t="s">
        <v>532</v>
      </c>
      <c r="E7" s="13">
        <v>333000</v>
      </c>
      <c r="F7" s="54" t="s">
        <v>533</v>
      </c>
    </row>
    <row r="8" spans="2:6" ht="15" customHeight="1" x14ac:dyDescent="0.25">
      <c r="B8" s="53" t="s">
        <v>534</v>
      </c>
      <c r="C8" s="43" t="s">
        <v>156</v>
      </c>
      <c r="D8" s="54" t="s">
        <v>535</v>
      </c>
      <c r="E8" s="13">
        <v>547000</v>
      </c>
      <c r="F8" s="54" t="s">
        <v>536</v>
      </c>
    </row>
    <row r="9" spans="2:6" ht="15" customHeight="1" x14ac:dyDescent="0.25">
      <c r="B9" s="53" t="s">
        <v>537</v>
      </c>
      <c r="C9" s="43" t="s">
        <v>538</v>
      </c>
      <c r="D9" s="54" t="s">
        <v>539</v>
      </c>
      <c r="E9" s="13">
        <v>121500</v>
      </c>
      <c r="F9" s="54" t="s">
        <v>540</v>
      </c>
    </row>
    <row r="10" spans="2:6" ht="15" customHeight="1" x14ac:dyDescent="0.25">
      <c r="B10" s="53" t="s">
        <v>541</v>
      </c>
      <c r="C10" s="43" t="s">
        <v>542</v>
      </c>
      <c r="D10" s="54" t="s">
        <v>543</v>
      </c>
      <c r="E10" s="13">
        <v>67700</v>
      </c>
      <c r="F10" s="54" t="s">
        <v>544</v>
      </c>
    </row>
    <row r="11" spans="2:6" ht="15" customHeight="1" x14ac:dyDescent="0.25">
      <c r="B11" s="53" t="s">
        <v>545</v>
      </c>
      <c r="C11" s="43" t="s">
        <v>72</v>
      </c>
      <c r="D11" s="54" t="s">
        <v>546</v>
      </c>
      <c r="E11" s="13">
        <v>80673</v>
      </c>
      <c r="F11" s="54" t="s">
        <v>547</v>
      </c>
    </row>
    <row r="13" spans="2:6" ht="15" customHeight="1" x14ac:dyDescent="0.25">
      <c r="B13" s="51" t="s">
        <v>548</v>
      </c>
      <c r="C13" s="41"/>
      <c r="D13" s="41"/>
      <c r="E13" s="52"/>
      <c r="F13" s="41"/>
    </row>
    <row r="14" spans="2:6" ht="15" customHeight="1" x14ac:dyDescent="0.25">
      <c r="B14" s="53" t="s">
        <v>549</v>
      </c>
      <c r="C14" s="43" t="s">
        <v>550</v>
      </c>
      <c r="D14" s="54" t="s">
        <v>551</v>
      </c>
      <c r="E14" s="13">
        <v>174000</v>
      </c>
      <c r="F14" s="54" t="s">
        <v>552</v>
      </c>
    </row>
    <row r="15" spans="2:6" ht="15" customHeight="1" x14ac:dyDescent="0.25">
      <c r="B15" s="53" t="s">
        <v>553</v>
      </c>
      <c r="C15" s="43" t="s">
        <v>554</v>
      </c>
      <c r="D15" s="54" t="s">
        <v>555</v>
      </c>
      <c r="F15" s="54" t="s">
        <v>556</v>
      </c>
    </row>
    <row r="17" spans="2:6" ht="15" customHeight="1" x14ac:dyDescent="0.25">
      <c r="B17" s="53" t="s">
        <v>557</v>
      </c>
      <c r="E17" s="13"/>
    </row>
    <row r="18" spans="2:6" ht="15" customHeight="1" x14ac:dyDescent="0.25">
      <c r="B18" s="53" t="s">
        <v>558</v>
      </c>
      <c r="C18" s="43" t="s">
        <v>155</v>
      </c>
      <c r="D18" s="54" t="s">
        <v>559</v>
      </c>
      <c r="E18" s="13">
        <v>6000</v>
      </c>
      <c r="F18" s="54" t="s">
        <v>560</v>
      </c>
    </row>
    <row r="19" spans="2:6" ht="15" customHeight="1" x14ac:dyDescent="0.25">
      <c r="B19" s="53" t="s">
        <v>561</v>
      </c>
      <c r="C19" s="43" t="s">
        <v>156</v>
      </c>
      <c r="D19" s="54" t="s">
        <v>559</v>
      </c>
      <c r="E19" s="13">
        <v>130123</v>
      </c>
      <c r="F19" s="54" t="s">
        <v>562</v>
      </c>
    </row>
    <row r="20" spans="2:6" ht="15" customHeight="1" x14ac:dyDescent="0.25">
      <c r="B20" s="53" t="s">
        <v>563</v>
      </c>
      <c r="C20" s="43" t="s">
        <v>72</v>
      </c>
      <c r="D20" s="54" t="s">
        <v>559</v>
      </c>
      <c r="E20" s="13">
        <v>141167</v>
      </c>
      <c r="F20" s="54" t="s">
        <v>564</v>
      </c>
    </row>
    <row r="21" spans="2:6" ht="15" customHeight="1" x14ac:dyDescent="0.25">
      <c r="B21" s="53" t="s">
        <v>565</v>
      </c>
      <c r="D21" s="54" t="s">
        <v>566</v>
      </c>
      <c r="E21" s="55">
        <f>SUM(E18:E20)</f>
        <v>277290</v>
      </c>
    </row>
    <row r="23" spans="2:6" ht="15" customHeight="1" x14ac:dyDescent="0.25">
      <c r="B23" s="51" t="s">
        <v>567</v>
      </c>
      <c r="C23" s="41"/>
      <c r="D23" s="41"/>
      <c r="E23" s="52"/>
      <c r="F23" s="41"/>
    </row>
    <row r="24" spans="2:6" ht="15" customHeight="1" x14ac:dyDescent="0.25">
      <c r="B24" s="53" t="s">
        <v>568</v>
      </c>
      <c r="C24" s="43" t="s">
        <v>569</v>
      </c>
      <c r="D24" s="54" t="s">
        <v>570</v>
      </c>
      <c r="E24" s="13">
        <v>603000</v>
      </c>
      <c r="F24" s="54" t="s">
        <v>571</v>
      </c>
    </row>
    <row r="25" spans="2:6" ht="15" customHeight="1" x14ac:dyDescent="0.25">
      <c r="B25" s="53" t="s">
        <v>572</v>
      </c>
      <c r="C25" s="43" t="s">
        <v>573</v>
      </c>
      <c r="D25" s="54" t="s">
        <v>574</v>
      </c>
      <c r="E25" s="13">
        <v>564683</v>
      </c>
      <c r="F25" s="54" t="s">
        <v>575</v>
      </c>
    </row>
    <row r="26" spans="2:6" ht="15" customHeight="1" x14ac:dyDescent="0.25">
      <c r="B26" s="53" t="s">
        <v>576</v>
      </c>
      <c r="C26" s="43" t="s">
        <v>577</v>
      </c>
      <c r="D26" s="54" t="s">
        <v>578</v>
      </c>
      <c r="E26" s="13">
        <v>727000</v>
      </c>
      <c r="F26" s="54" t="s">
        <v>579</v>
      </c>
    </row>
    <row r="27" spans="2:6" ht="15" customHeight="1" x14ac:dyDescent="0.25">
      <c r="B27" s="53" t="s">
        <v>580</v>
      </c>
      <c r="D27" s="54" t="s">
        <v>581</v>
      </c>
      <c r="E27" s="55">
        <f>-E25-E26</f>
        <v>-1291683</v>
      </c>
    </row>
    <row r="30" spans="2:6" ht="15" customHeight="1" x14ac:dyDescent="0.25">
      <c r="B30" s="50" t="s">
        <v>122</v>
      </c>
    </row>
    <row r="31" spans="2:6" ht="15" customHeight="1" x14ac:dyDescent="0.25">
      <c r="B31" s="69" t="s">
        <v>582</v>
      </c>
      <c r="C31" s="70"/>
      <c r="D31" s="70"/>
      <c r="E31" s="70"/>
      <c r="F31" s="70"/>
    </row>
    <row r="32" spans="2:6" ht="15" customHeight="1" x14ac:dyDescent="0.25">
      <c r="B32" s="69" t="s">
        <v>583</v>
      </c>
      <c r="C32" s="70"/>
      <c r="D32" s="70"/>
      <c r="E32" s="70"/>
      <c r="F32" s="70"/>
    </row>
    <row r="33" spans="2:6" ht="15" customHeight="1" x14ac:dyDescent="0.25">
      <c r="B33" s="69" t="s">
        <v>584</v>
      </c>
      <c r="C33" s="70"/>
      <c r="D33" s="70"/>
      <c r="E33" s="70"/>
      <c r="F33" s="70"/>
    </row>
    <row r="34" spans="2:6" ht="15" customHeight="1" x14ac:dyDescent="0.25">
      <c r="B34" s="69" t="s">
        <v>585</v>
      </c>
      <c r="C34" s="70"/>
      <c r="D34" s="70"/>
      <c r="E34" s="70"/>
      <c r="F34" s="70"/>
    </row>
  </sheetData>
  <mergeCells count="6">
    <mergeCell ref="B2:F2"/>
    <mergeCell ref="B34:F34"/>
    <mergeCell ref="B33:F33"/>
    <mergeCell ref="B3:F3"/>
    <mergeCell ref="B31:F31"/>
    <mergeCell ref="B32:F32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H44"/>
  <sheetViews>
    <sheetView tabSelected="1" topLeftCell="A22" zoomScaleNormal="100" workbookViewId="0"/>
  </sheetViews>
  <sheetFormatPr defaultColWidth="8.7109375" defaultRowHeight="15" x14ac:dyDescent="0.25"/>
  <cols>
    <col min="1" max="1" width="4" customWidth="1"/>
    <col min="2" max="2" width="52" customWidth="1"/>
    <col min="3" max="3" width="16" customWidth="1"/>
  </cols>
  <sheetData>
    <row r="2" spans="2:8" ht="17.25" customHeight="1" x14ac:dyDescent="0.25">
      <c r="B2" s="71" t="s">
        <v>586</v>
      </c>
      <c r="C2" s="70"/>
      <c r="D2" s="70"/>
      <c r="E2" s="70"/>
      <c r="F2" s="70"/>
      <c r="G2" s="70"/>
      <c r="H2" s="70"/>
    </row>
    <row r="3" spans="2:8" ht="15" customHeight="1" x14ac:dyDescent="0.25">
      <c r="B3" s="72" t="s">
        <v>587</v>
      </c>
      <c r="C3" s="70"/>
      <c r="D3" s="70"/>
      <c r="E3" s="70"/>
      <c r="F3" s="70"/>
      <c r="G3" s="70"/>
      <c r="H3" s="70"/>
    </row>
    <row r="5" spans="2:8" ht="15" customHeight="1" x14ac:dyDescent="0.25">
      <c r="B5" s="78" t="s">
        <v>588</v>
      </c>
      <c r="C5" s="70"/>
      <c r="D5" s="70"/>
      <c r="E5" s="70"/>
      <c r="F5" s="70"/>
      <c r="G5" s="70"/>
      <c r="H5" s="70"/>
    </row>
    <row r="6" spans="2:8" ht="15" customHeight="1" x14ac:dyDescent="0.25">
      <c r="B6" s="56" t="s">
        <v>589</v>
      </c>
      <c r="C6" s="13">
        <v>-431917</v>
      </c>
      <c r="D6" s="79" t="s">
        <v>590</v>
      </c>
      <c r="E6" s="70"/>
      <c r="F6" s="70"/>
      <c r="G6" s="70"/>
      <c r="H6" s="70"/>
    </row>
    <row r="7" spans="2:8" ht="15" customHeight="1" x14ac:dyDescent="0.25">
      <c r="B7" s="56" t="s">
        <v>591</v>
      </c>
      <c r="C7" s="13">
        <v>564683</v>
      </c>
      <c r="D7" s="79" t="s">
        <v>592</v>
      </c>
      <c r="E7" s="70"/>
      <c r="F7" s="70"/>
      <c r="G7" s="70"/>
      <c r="H7" s="70"/>
    </row>
    <row r="8" spans="2:8" ht="15" customHeight="1" x14ac:dyDescent="0.25">
      <c r="B8" s="56" t="s">
        <v>593</v>
      </c>
      <c r="C8" s="13">
        <v>727000</v>
      </c>
      <c r="D8" s="79" t="s">
        <v>594</v>
      </c>
      <c r="E8" s="70"/>
      <c r="F8" s="70"/>
      <c r="G8" s="70"/>
      <c r="H8" s="70"/>
    </row>
    <row r="9" spans="2:8" ht="15" customHeight="1" x14ac:dyDescent="0.25">
      <c r="B9" s="56" t="s">
        <v>595</v>
      </c>
      <c r="C9" s="13">
        <v>110427</v>
      </c>
      <c r="D9" s="79" t="s">
        <v>596</v>
      </c>
      <c r="E9" s="70"/>
      <c r="F9" s="70"/>
      <c r="G9" s="70"/>
      <c r="H9" s="70"/>
    </row>
    <row r="10" spans="2:8" ht="15" customHeight="1" x14ac:dyDescent="0.25">
      <c r="B10" s="56" t="s">
        <v>597</v>
      </c>
      <c r="C10" s="13">
        <v>100000</v>
      </c>
      <c r="D10" s="79" t="s">
        <v>598</v>
      </c>
      <c r="E10" s="70"/>
      <c r="F10" s="70"/>
      <c r="G10" s="70"/>
      <c r="H10" s="70"/>
    </row>
    <row r="11" spans="2:8" ht="15" customHeight="1" x14ac:dyDescent="0.25">
      <c r="B11" s="56" t="s">
        <v>599</v>
      </c>
      <c r="C11" s="57">
        <v>1</v>
      </c>
      <c r="D11" s="79" t="s">
        <v>600</v>
      </c>
      <c r="E11" s="70"/>
      <c r="F11" s="70"/>
      <c r="G11" s="70"/>
      <c r="H11" s="70"/>
    </row>
    <row r="14" spans="2:8" ht="45.75" customHeight="1" x14ac:dyDescent="0.25">
      <c r="B14" s="39" t="s">
        <v>601</v>
      </c>
      <c r="C14" s="39" t="s">
        <v>602</v>
      </c>
      <c r="D14" s="39" t="s">
        <v>603</v>
      </c>
      <c r="E14" s="39" t="s">
        <v>604</v>
      </c>
      <c r="F14" s="58" t="s">
        <v>605</v>
      </c>
      <c r="G14" s="59" t="s">
        <v>606</v>
      </c>
      <c r="H14" s="60" t="s">
        <v>607</v>
      </c>
    </row>
    <row r="15" spans="2:8" ht="15" customHeight="1" x14ac:dyDescent="0.25">
      <c r="B15" s="44" t="s">
        <v>608</v>
      </c>
    </row>
    <row r="16" spans="2:8" ht="15" customHeight="1" x14ac:dyDescent="0.25">
      <c r="B16" s="42" t="s">
        <v>609</v>
      </c>
      <c r="C16" s="23">
        <f t="shared" ref="C16:H16" si="0">$C$6</f>
        <v>-431917</v>
      </c>
      <c r="D16" s="23">
        <f t="shared" si="0"/>
        <v>-431917</v>
      </c>
      <c r="E16" s="23">
        <f t="shared" si="0"/>
        <v>-431917</v>
      </c>
      <c r="F16" s="23">
        <f t="shared" si="0"/>
        <v>-431917</v>
      </c>
      <c r="G16" s="23">
        <f t="shared" si="0"/>
        <v>-431917</v>
      </c>
      <c r="H16" s="23">
        <f t="shared" si="0"/>
        <v>-431917</v>
      </c>
    </row>
    <row r="18" spans="2:8" ht="15" customHeight="1" x14ac:dyDescent="0.25">
      <c r="B18" s="61" t="s">
        <v>610</v>
      </c>
      <c r="C18" s="62"/>
      <c r="D18" s="62"/>
      <c r="E18" s="62"/>
      <c r="F18" s="62"/>
      <c r="G18" s="62"/>
      <c r="H18" s="62"/>
    </row>
    <row r="19" spans="2:8" ht="15" customHeight="1" x14ac:dyDescent="0.25">
      <c r="B19" s="42" t="s">
        <v>611</v>
      </c>
      <c r="C19" s="47">
        <v>0</v>
      </c>
      <c r="D19" s="47">
        <f>-$C$7*$C$11</f>
        <v>-564683</v>
      </c>
      <c r="E19" s="47">
        <f>-$C$7*$C$11</f>
        <v>-564683</v>
      </c>
      <c r="F19" s="47">
        <f>-$C$7*0</f>
        <v>0</v>
      </c>
      <c r="G19" s="47">
        <f>-$C$7*0.5</f>
        <v>-282341.5</v>
      </c>
      <c r="H19" s="47">
        <f>-$C$7*$C$11</f>
        <v>-564683</v>
      </c>
    </row>
    <row r="20" spans="2:8" ht="15" customHeight="1" x14ac:dyDescent="0.25">
      <c r="B20" s="42" t="s">
        <v>612</v>
      </c>
      <c r="C20" s="47">
        <v>0</v>
      </c>
      <c r="D20" s="47">
        <v>0</v>
      </c>
      <c r="E20" s="47">
        <f>-$C$9</f>
        <v>-110427</v>
      </c>
      <c r="F20" s="47">
        <f>-$C$9</f>
        <v>-110427</v>
      </c>
      <c r="G20" s="47">
        <f>-$C$9</f>
        <v>-110427</v>
      </c>
      <c r="H20" s="47">
        <f>-$C$9</f>
        <v>-110427</v>
      </c>
    </row>
    <row r="21" spans="2:8" ht="15" customHeight="1" x14ac:dyDescent="0.25">
      <c r="B21" s="42" t="s">
        <v>613</v>
      </c>
      <c r="C21" s="63">
        <f t="shared" ref="C21:H21" si="1">C19+C20</f>
        <v>0</v>
      </c>
      <c r="D21" s="63">
        <f t="shared" si="1"/>
        <v>-564683</v>
      </c>
      <c r="E21" s="63">
        <f t="shared" si="1"/>
        <v>-675110</v>
      </c>
      <c r="F21" s="63">
        <f t="shared" si="1"/>
        <v>-110427</v>
      </c>
      <c r="G21" s="63">
        <f t="shared" si="1"/>
        <v>-392768.5</v>
      </c>
      <c r="H21" s="63">
        <f t="shared" si="1"/>
        <v>-675110</v>
      </c>
    </row>
    <row r="23" spans="2:8" ht="15" customHeight="1" x14ac:dyDescent="0.25">
      <c r="B23" s="61" t="s">
        <v>614</v>
      </c>
      <c r="C23" s="62"/>
      <c r="D23" s="62"/>
      <c r="E23" s="62"/>
      <c r="F23" s="62"/>
      <c r="G23" s="62"/>
      <c r="H23" s="62"/>
    </row>
    <row r="24" spans="2:8" ht="15" customHeight="1" x14ac:dyDescent="0.25">
      <c r="B24" s="42" t="s">
        <v>615</v>
      </c>
      <c r="C24" s="47">
        <v>0</v>
      </c>
      <c r="D24" s="47">
        <v>0</v>
      </c>
      <c r="E24" s="47">
        <v>0</v>
      </c>
      <c r="F24" s="47">
        <v>0</v>
      </c>
      <c r="G24" s="47">
        <f>-$C$8*0.5</f>
        <v>-363500</v>
      </c>
      <c r="H24" s="47">
        <f>-$C$8</f>
        <v>-727000</v>
      </c>
    </row>
    <row r="25" spans="2:8" ht="15" customHeight="1" x14ac:dyDescent="0.25">
      <c r="B25" s="42" t="s">
        <v>616</v>
      </c>
      <c r="C25" s="47">
        <v>0</v>
      </c>
      <c r="D25" s="47">
        <v>0</v>
      </c>
      <c r="E25" s="47">
        <f>-$C$10</f>
        <v>-100000</v>
      </c>
      <c r="F25" s="47">
        <f>-$C$10</f>
        <v>-100000</v>
      </c>
      <c r="G25" s="47">
        <f>-$C$10</f>
        <v>-100000</v>
      </c>
      <c r="H25" s="47">
        <f>-$C$10</f>
        <v>-100000</v>
      </c>
    </row>
    <row r="26" spans="2:8" ht="15" customHeight="1" x14ac:dyDescent="0.25">
      <c r="B26" s="42" t="s">
        <v>617</v>
      </c>
      <c r="C26" s="63">
        <f t="shared" ref="C26:H26" si="2">C24+C25</f>
        <v>0</v>
      </c>
      <c r="D26" s="63">
        <f t="shared" si="2"/>
        <v>0</v>
      </c>
      <c r="E26" s="63">
        <f t="shared" si="2"/>
        <v>-100000</v>
      </c>
      <c r="F26" s="63">
        <f t="shared" si="2"/>
        <v>-100000</v>
      </c>
      <c r="G26" s="63">
        <f t="shared" si="2"/>
        <v>-463500</v>
      </c>
      <c r="H26" s="63">
        <f t="shared" si="2"/>
        <v>-827000</v>
      </c>
    </row>
    <row r="28" spans="2:8" ht="15" customHeight="1" x14ac:dyDescent="0.25">
      <c r="B28" s="61" t="s">
        <v>618</v>
      </c>
      <c r="C28" s="62"/>
      <c r="D28" s="62"/>
      <c r="E28" s="62"/>
      <c r="F28" s="62"/>
      <c r="G28" s="62"/>
      <c r="H28" s="62"/>
    </row>
    <row r="29" spans="2:8" ht="15" customHeight="1" x14ac:dyDescent="0.25">
      <c r="B29" s="42" t="s">
        <v>619</v>
      </c>
      <c r="C29" s="48">
        <f t="shared" ref="C29:H29" si="3">C16+C21+C26</f>
        <v>-431917</v>
      </c>
      <c r="D29" s="48">
        <f t="shared" si="3"/>
        <v>-996600</v>
      </c>
      <c r="E29" s="48">
        <f t="shared" si="3"/>
        <v>-1207027</v>
      </c>
      <c r="F29" s="64">
        <f t="shared" si="3"/>
        <v>-642344</v>
      </c>
      <c r="G29" s="65">
        <f t="shared" si="3"/>
        <v>-1288185.5</v>
      </c>
      <c r="H29" s="66">
        <f t="shared" si="3"/>
        <v>-1934027</v>
      </c>
    </row>
    <row r="31" spans="2:8" ht="15" customHeight="1" x14ac:dyDescent="0.25">
      <c r="B31" s="61" t="s">
        <v>620</v>
      </c>
      <c r="C31" s="62"/>
      <c r="D31" s="62"/>
      <c r="E31" s="62"/>
      <c r="F31" s="62"/>
      <c r="G31" s="62"/>
      <c r="H31" s="62"/>
    </row>
    <row r="32" spans="2:8" ht="15" customHeight="1" x14ac:dyDescent="0.25">
      <c r="B32" s="42" t="s">
        <v>621</v>
      </c>
      <c r="C32" s="47">
        <f t="shared" ref="C32:H32" si="4">C29-C16</f>
        <v>0</v>
      </c>
      <c r="D32" s="47">
        <f t="shared" si="4"/>
        <v>-564683</v>
      </c>
      <c r="E32" s="47">
        <f t="shared" si="4"/>
        <v>-775110</v>
      </c>
      <c r="F32" s="47">
        <f t="shared" si="4"/>
        <v>-210427</v>
      </c>
      <c r="G32" s="47">
        <f t="shared" si="4"/>
        <v>-856268.5</v>
      </c>
      <c r="H32" s="47">
        <f t="shared" si="4"/>
        <v>-1502110</v>
      </c>
    </row>
    <row r="33" spans="2:8" ht="15" customHeight="1" x14ac:dyDescent="0.25">
      <c r="B33" s="42" t="s">
        <v>622</v>
      </c>
      <c r="C33" s="67">
        <f t="shared" ref="C33:H33" si="5">IFERROR(C29/-375309,"-")</f>
        <v>1.1508303824315431</v>
      </c>
      <c r="D33" s="67">
        <f t="shared" si="5"/>
        <v>2.655411940560978</v>
      </c>
      <c r="E33" s="67">
        <f t="shared" si="5"/>
        <v>3.2160886096523131</v>
      </c>
      <c r="F33" s="67">
        <f t="shared" si="5"/>
        <v>1.7115070515228785</v>
      </c>
      <c r="G33" s="67">
        <f t="shared" si="5"/>
        <v>3.4323330908664595</v>
      </c>
      <c r="H33" s="67">
        <f t="shared" si="5"/>
        <v>5.1531591302100406</v>
      </c>
    </row>
    <row r="34" spans="2:8" ht="15" customHeight="1" x14ac:dyDescent="0.25">
      <c r="B34" s="42" t="s">
        <v>623</v>
      </c>
      <c r="C34" s="68">
        <f t="shared" ref="C34:H34" si="6">IFERROR(MAX(0,C29+375309)/375309,IF(C29&lt;-375309,"DEFICITÁRIO","OK"))</f>
        <v>0</v>
      </c>
      <c r="D34" s="68">
        <f t="shared" si="6"/>
        <v>0</v>
      </c>
      <c r="E34" s="68">
        <f t="shared" si="6"/>
        <v>0</v>
      </c>
      <c r="F34" s="68">
        <f t="shared" si="6"/>
        <v>0</v>
      </c>
      <c r="G34" s="68">
        <f t="shared" si="6"/>
        <v>0</v>
      </c>
      <c r="H34" s="68">
        <f t="shared" si="6"/>
        <v>0</v>
      </c>
    </row>
    <row r="37" spans="2:8" ht="15" customHeight="1" x14ac:dyDescent="0.25">
      <c r="B37" s="50" t="s">
        <v>624</v>
      </c>
    </row>
    <row r="38" spans="2:8" ht="15" customHeight="1" x14ac:dyDescent="0.25">
      <c r="B38" s="69" t="s">
        <v>625</v>
      </c>
      <c r="C38" s="70"/>
      <c r="D38" s="70"/>
      <c r="E38" s="70"/>
      <c r="F38" s="70"/>
      <c r="G38" s="70"/>
      <c r="H38" s="70"/>
    </row>
    <row r="39" spans="2:8" ht="15" customHeight="1" x14ac:dyDescent="0.25">
      <c r="B39" s="69" t="s">
        <v>626</v>
      </c>
      <c r="C39" s="70"/>
      <c r="D39" s="70"/>
      <c r="E39" s="70"/>
      <c r="F39" s="70"/>
      <c r="G39" s="70"/>
      <c r="H39" s="70"/>
    </row>
    <row r="40" spans="2:8" ht="15" customHeight="1" x14ac:dyDescent="0.25">
      <c r="B40" s="69" t="s">
        <v>627</v>
      </c>
      <c r="C40" s="70"/>
      <c r="D40" s="70"/>
      <c r="E40" s="70"/>
      <c r="F40" s="70"/>
      <c r="G40" s="70"/>
      <c r="H40" s="70"/>
    </row>
    <row r="41" spans="2:8" ht="15" customHeight="1" x14ac:dyDescent="0.25">
      <c r="B41" s="69" t="s">
        <v>628</v>
      </c>
      <c r="C41" s="70"/>
      <c r="D41" s="70"/>
      <c r="E41" s="70"/>
      <c r="F41" s="70"/>
      <c r="G41" s="70"/>
      <c r="H41" s="70"/>
    </row>
    <row r="42" spans="2:8" ht="15" customHeight="1" x14ac:dyDescent="0.25">
      <c r="B42" s="69" t="s">
        <v>629</v>
      </c>
      <c r="C42" s="70"/>
      <c r="D42" s="70"/>
      <c r="E42" s="70"/>
      <c r="F42" s="70"/>
      <c r="G42" s="70"/>
      <c r="H42" s="70"/>
    </row>
    <row r="43" spans="2:8" ht="15" customHeight="1" x14ac:dyDescent="0.25">
      <c r="B43" s="69" t="s">
        <v>630</v>
      </c>
      <c r="C43" s="70"/>
      <c r="D43" s="70"/>
      <c r="E43" s="70"/>
      <c r="F43" s="70"/>
      <c r="G43" s="70"/>
      <c r="H43" s="70"/>
    </row>
    <row r="44" spans="2:8" ht="15" customHeight="1" x14ac:dyDescent="0.25">
      <c r="B44" s="69" t="s">
        <v>631</v>
      </c>
      <c r="C44" s="70"/>
      <c r="D44" s="70"/>
      <c r="E44" s="70"/>
      <c r="F44" s="70"/>
      <c r="G44" s="70"/>
      <c r="H44" s="70"/>
    </row>
  </sheetData>
  <mergeCells count="16">
    <mergeCell ref="B44:H44"/>
    <mergeCell ref="B43:H43"/>
    <mergeCell ref="D11:H11"/>
    <mergeCell ref="B39:H39"/>
    <mergeCell ref="B38:H38"/>
    <mergeCell ref="B40:H40"/>
    <mergeCell ref="B41:H41"/>
    <mergeCell ref="B2:H2"/>
    <mergeCell ref="B42:H42"/>
    <mergeCell ref="B3:H3"/>
    <mergeCell ref="B5:H5"/>
    <mergeCell ref="D9:H9"/>
    <mergeCell ref="D7:H7"/>
    <mergeCell ref="D8:H8"/>
    <mergeCell ref="D6:H6"/>
    <mergeCell ref="D10:H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Capa</vt:lpstr>
      <vt:lpstr>BP</vt:lpstr>
      <vt:lpstr>DRE</vt:lpstr>
      <vt:lpstr>Receita Detalhada</vt:lpstr>
      <vt:lpstr>DFC</vt:lpstr>
      <vt:lpstr>Operacional Puro</vt:lpstr>
      <vt:lpstr>Indicadores</vt:lpstr>
      <vt:lpstr>Premissas Runway</vt:lpstr>
      <vt:lpstr>Modelo Runway</vt:lpstr>
      <vt:lpstr>Resumo Cenários</vt:lpstr>
      <vt:lpstr>Caminho A — Trajetória</vt:lpstr>
      <vt:lpstr>Anx — Suporte Controlador</vt:lpstr>
      <vt:lpstr>Anx — Garantias e Factoring</vt:lpstr>
      <vt:lpstr>Anx — Cenários Impairment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Vinicius Augusto</cp:lastModifiedBy>
  <cp:revision>0</cp:revision>
  <dcterms:created xsi:type="dcterms:W3CDTF">2026-05-16T00:48:58Z</dcterms:created>
  <dcterms:modified xsi:type="dcterms:W3CDTF">2026-05-20T03:23:39Z</dcterms:modified>
  <dc:language>en-US</dc:language>
</cp:coreProperties>
</file>